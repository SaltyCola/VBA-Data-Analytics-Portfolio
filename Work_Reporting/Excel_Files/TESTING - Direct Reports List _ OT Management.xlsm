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225" windowWidth="9600" windowHeight="7290" activeTab="1"/>
  </bookViews>
  <sheets>
    <sheet name="Direct Reports" sheetId="32" r:id="rId1"/>
    <sheet name="Training Matrix" sheetId="36" r:id="rId2"/>
    <sheet name="Seniority List_March 2016" sheetId="30" state="hidden" r:id="rId3"/>
    <sheet name="AWW OT Sheet" sheetId="24" state="hidden" r:id="rId4"/>
    <sheet name="2nd Shift OT Sheet" sheetId="31" state="hidden" r:id="rId5"/>
    <sheet name="Shift Preference 3-30-16" sheetId="29" state="hidden" r:id="rId6"/>
    <sheet name="Shift Preference_1-11-16" sheetId="25" state="hidden" r:id="rId7"/>
    <sheet name="Shift Preference_11-20-15" sheetId="19" state="hidden" r:id="rId8"/>
  </sheets>
  <definedNames>
    <definedName name="_xlnm._FilterDatabase" localSheetId="4" hidden="1">'2nd Shift OT Sheet'!$A$3:$D$3</definedName>
    <definedName name="_xlnm._FilterDatabase" localSheetId="3" hidden="1">'AWW OT Sheet'!$A$3:$W$3</definedName>
    <definedName name="_xlnm._FilterDatabase" localSheetId="0" hidden="1">'Direct Reports'!$A$1:$J$102</definedName>
    <definedName name="_xlnm._FilterDatabase" localSheetId="2" hidden="1">'Seniority List_March 2016'!$A$2:$E$281</definedName>
    <definedName name="_xlnm._FilterDatabase" localSheetId="5" hidden="1">'Shift Preference 3-30-16'!$A$3:$O$101</definedName>
    <definedName name="_xlnm._FilterDatabase" localSheetId="6" hidden="1">'Shift Preference_1-11-16'!$A$3:$E$3</definedName>
    <definedName name="_xlnm._FilterDatabase" localSheetId="1" hidden="1">'Training Matrix'!$A$7:$AB$109</definedName>
    <definedName name="ArmstrongJames" localSheetId="1">'Training Matrix'!#REF!</definedName>
    <definedName name="ArmstrongJames">#REF!</definedName>
    <definedName name="_xlnm.Print_Area" localSheetId="4">'2nd Shift OT Sheet'!$A$1:$D$32</definedName>
    <definedName name="_xlnm.Print_Area" localSheetId="3">'AWW OT Sheet'!$A$1:$W$10</definedName>
    <definedName name="_xlnm.Print_Area" localSheetId="2">'Seniority List_March 2016'!$A$2:$H$257</definedName>
    <definedName name="_xlnm.Print_Area" localSheetId="5">'Shift Preference 3-30-16'!$A$1:$O$101</definedName>
    <definedName name="_xlnm.Print_Area" localSheetId="6">'Shift Preference_1-11-16'!$A$1:$D$85</definedName>
    <definedName name="_xlnm.Print_Area" localSheetId="7">'Shift Preference_11-20-15'!$A$1:$E$82</definedName>
    <definedName name="_xlnm.Print_Titles" localSheetId="4">'2nd Shift OT Sheet'!$1:$3</definedName>
    <definedName name="_xlnm.Print_Titles" localSheetId="3">'AWW OT Sheet'!$1:$3</definedName>
    <definedName name="_xlnm.Print_Titles" localSheetId="5">'Shift Preference 3-30-16'!$1:$3</definedName>
    <definedName name="_xlnm.Print_Titles" localSheetId="6">'Shift Preference_1-11-16'!$1:$3</definedName>
    <definedName name="_xlnm.Print_Titles" localSheetId="7">'Shift Preference_11-20-15'!$1:$3</definedName>
    <definedName name="Shift">'Direct Reports'!$AC$2:$AC$4</definedName>
    <definedName name="TrainingLevel" localSheetId="1">'Training Matrix'!$E$1:$E$5</definedName>
    <definedName name="TrainingLevel">#REF!</definedName>
    <definedName name="UnionStatus">'Direct Reports'!$AB$2:$AB$2</definedName>
    <definedName name="WorkCenter">'Direct Reports'!$AD$2:$AD$15</definedName>
  </definedNames>
  <calcPr calcId="145621"/>
</workbook>
</file>

<file path=xl/calcChain.xml><?xml version="1.0" encoding="utf-8"?>
<calcChain xmlns="http://schemas.openxmlformats.org/spreadsheetml/2006/main">
  <c r="G32" i="32" l="1"/>
  <c r="G27" i="32" l="1"/>
  <c r="G53" i="32"/>
  <c r="G50" i="32"/>
  <c r="G49" i="32"/>
  <c r="G3" i="32"/>
  <c r="G84" i="32"/>
  <c r="G66" i="32"/>
  <c r="G5" i="32"/>
  <c r="G63" i="32"/>
  <c r="G25" i="32"/>
  <c r="G35" i="32"/>
  <c r="G101" i="32"/>
  <c r="G99" i="32"/>
  <c r="G52" i="32"/>
  <c r="G44" i="32"/>
  <c r="G46" i="32"/>
  <c r="G73" i="32"/>
  <c r="G6" i="32"/>
  <c r="G21" i="32"/>
  <c r="G4" i="32"/>
  <c r="G77" i="32"/>
  <c r="G56" i="32"/>
  <c r="G81" i="32"/>
  <c r="G75" i="32"/>
  <c r="G68" i="32"/>
  <c r="G69" i="32"/>
  <c r="G8" i="32"/>
  <c r="G83" i="32"/>
  <c r="G7" i="32"/>
  <c r="G45" i="32"/>
  <c r="G43" i="32"/>
  <c r="G33" i="32"/>
  <c r="G89" i="32"/>
  <c r="G34" i="32"/>
  <c r="G20" i="32"/>
  <c r="G23" i="32"/>
  <c r="G51" i="32"/>
  <c r="G19" i="32"/>
  <c r="G42" i="32"/>
  <c r="G62" i="32"/>
  <c r="G74" i="32"/>
  <c r="G94" i="32"/>
  <c r="G14" i="32"/>
  <c r="G29" i="32"/>
  <c r="G38" i="32"/>
  <c r="G79" i="32"/>
  <c r="G98" i="32"/>
  <c r="G102" i="32"/>
  <c r="G28" i="32"/>
  <c r="G48" i="32"/>
  <c r="G54" i="32"/>
  <c r="G57" i="32"/>
  <c r="G59" i="32"/>
  <c r="G72" i="32"/>
  <c r="G80" i="32"/>
  <c r="G10" i="32"/>
  <c r="G11" i="32"/>
  <c r="G41" i="32"/>
  <c r="G85" i="32"/>
  <c r="G92" i="32"/>
  <c r="G100" i="32"/>
  <c r="G9" i="32"/>
  <c r="G37" i="32"/>
  <c r="G58" i="32"/>
  <c r="G71" i="32"/>
  <c r="G22" i="32"/>
  <c r="G64" i="32"/>
  <c r="G67" i="32"/>
  <c r="G82" i="32"/>
  <c r="G88" i="32"/>
  <c r="G90" i="32"/>
  <c r="G91" i="32"/>
  <c r="G12" i="32"/>
  <c r="G18" i="32"/>
  <c r="G13" i="32"/>
  <c r="G36" i="32"/>
  <c r="G65" i="32"/>
  <c r="G70" i="32"/>
  <c r="G17" i="32"/>
  <c r="G78" i="32"/>
  <c r="G86" i="32"/>
  <c r="G76" i="32"/>
  <c r="G15" i="32"/>
  <c r="G61" i="32"/>
  <c r="G60" i="32"/>
  <c r="G95" i="32"/>
  <c r="G2" i="32"/>
  <c r="G26" i="32"/>
  <c r="G96" i="32"/>
  <c r="G24" i="32"/>
  <c r="G47" i="32"/>
  <c r="G87" i="32"/>
  <c r="G30" i="32"/>
  <c r="G39" i="32"/>
  <c r="G97" i="32"/>
  <c r="G31" i="32"/>
  <c r="G55" i="32"/>
  <c r="G93" i="32"/>
  <c r="G16" i="32"/>
  <c r="G40" i="32"/>
  <c r="F2" i="24" l="1"/>
  <c r="I2" i="24" s="1"/>
  <c r="L2" i="24" s="1"/>
  <c r="O2" i="24" s="1"/>
  <c r="R2" i="24" s="1"/>
  <c r="U2" i="24" s="1"/>
  <c r="A263" i="30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</calcChain>
</file>

<file path=xl/comments1.xml><?xml version="1.0" encoding="utf-8"?>
<comments xmlns="http://schemas.openxmlformats.org/spreadsheetml/2006/main">
  <authors>
    <author>Patrick McCarthy</author>
  </authors>
  <commentList>
    <comment ref="S7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Certified Operation
</t>
        </r>
      </text>
    </comment>
    <comment ref="T7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Certified Operation
</t>
        </r>
      </text>
    </comment>
  </commentList>
</comments>
</file>

<file path=xl/sharedStrings.xml><?xml version="1.0" encoding="utf-8"?>
<sst xmlns="http://schemas.openxmlformats.org/spreadsheetml/2006/main" count="2701" uniqueCount="882">
  <si>
    <t>Name </t>
  </si>
  <si>
    <t>Clock#</t>
  </si>
  <si>
    <t>BACKE</t>
  </si>
  <si>
    <t>JEFFREY</t>
  </si>
  <si>
    <t>A</t>
  </si>
  <si>
    <t>BATHELEMY</t>
  </si>
  <si>
    <t>ERNSO</t>
  </si>
  <si>
    <t>BLAIR</t>
  </si>
  <si>
    <t>JACOB</t>
  </si>
  <si>
    <t>M</t>
  </si>
  <si>
    <t>FOSBURG</t>
  </si>
  <si>
    <t>MATTHEW</t>
  </si>
  <si>
    <t>J</t>
  </si>
  <si>
    <t>HUA</t>
  </si>
  <si>
    <t>PHI</t>
  </si>
  <si>
    <t>D</t>
  </si>
  <si>
    <t>KESSLER</t>
  </si>
  <si>
    <t>NAOMI</t>
  </si>
  <si>
    <t>RUDOLF</t>
  </si>
  <si>
    <t>KRING</t>
  </si>
  <si>
    <t>THOMAS</t>
  </si>
  <si>
    <t>LARDIE</t>
  </si>
  <si>
    <t>LINDA</t>
  </si>
  <si>
    <t>LEE</t>
  </si>
  <si>
    <t>XAI</t>
  </si>
  <si>
    <t>LOR</t>
  </si>
  <si>
    <t>NAOYENG</t>
  </si>
  <si>
    <t>MILLER</t>
  </si>
  <si>
    <t>RUTH</t>
  </si>
  <si>
    <t>NGUYEN</t>
  </si>
  <si>
    <t>H</t>
  </si>
  <si>
    <t>NOBLE</t>
  </si>
  <si>
    <t>PETER</t>
  </si>
  <si>
    <t>T</t>
  </si>
  <si>
    <t>TAYLOR</t>
  </si>
  <si>
    <t>STEVEN</t>
  </si>
  <si>
    <t>L</t>
  </si>
  <si>
    <t>Last</t>
  </si>
  <si>
    <t>First</t>
  </si>
  <si>
    <t>MI</t>
  </si>
  <si>
    <t>Nathan</t>
  </si>
  <si>
    <t>Anthony</t>
  </si>
  <si>
    <t>Danny</t>
  </si>
  <si>
    <t>Faucher</t>
  </si>
  <si>
    <t>LE</t>
  </si>
  <si>
    <t>Kevin</t>
  </si>
  <si>
    <t>Dewey</t>
  </si>
  <si>
    <t>BRIAN (Ha)</t>
  </si>
  <si>
    <t>PAA</t>
  </si>
  <si>
    <t>Bond Room (2)</t>
  </si>
  <si>
    <t>Bond Room (1)</t>
  </si>
  <si>
    <t>DMG</t>
  </si>
  <si>
    <t>Middle Ops</t>
  </si>
  <si>
    <t>Shift</t>
  </si>
  <si>
    <t>1st</t>
  </si>
  <si>
    <t>2nd</t>
  </si>
  <si>
    <t>Start Date</t>
  </si>
  <si>
    <t>Carr</t>
  </si>
  <si>
    <t>Ryan</t>
  </si>
  <si>
    <t>Kaminski</t>
  </si>
  <si>
    <t>Jeffrey</t>
  </si>
  <si>
    <t>Matthew</t>
  </si>
  <si>
    <t>Naomi</t>
  </si>
  <si>
    <t>Justin</t>
  </si>
  <si>
    <t>Dilley</t>
  </si>
  <si>
    <t>Clover</t>
  </si>
  <si>
    <t>Mitch</t>
  </si>
  <si>
    <t>Production Mechanic D</t>
  </si>
  <si>
    <t>Pham, Phat 2</t>
  </si>
  <si>
    <t>Vue, Kou 1</t>
  </si>
  <si>
    <t>Miller, Jacob 3</t>
  </si>
  <si>
    <t>Le, Tho 2</t>
  </si>
  <si>
    <t>Lee, Quincy 1</t>
  </si>
  <si>
    <t>Kaminski, Ryan 4</t>
  </si>
  <si>
    <t>Dewey, Kevin 2</t>
  </si>
  <si>
    <t>Carr, Ryan 1</t>
  </si>
  <si>
    <t>Le, Danny 3</t>
  </si>
  <si>
    <t>Faucher, Anthony 2</t>
  </si>
  <si>
    <t>Dilley, Nathan 1</t>
  </si>
  <si>
    <t>Clover, Mitchell</t>
  </si>
  <si>
    <t>Hudecek, Scott</t>
  </si>
  <si>
    <t>Hua, Phi 2</t>
  </si>
  <si>
    <t>Taylor, Steven 1</t>
  </si>
  <si>
    <t>Romah, Ueo 2</t>
  </si>
  <si>
    <t>Keener, Ronald 1</t>
  </si>
  <si>
    <t>Gensell II, Robert</t>
  </si>
  <si>
    <t>Rogers, Randy 3</t>
  </si>
  <si>
    <t>Kessler, Rudolf 2</t>
  </si>
  <si>
    <t>Cater,Tyler 1</t>
  </si>
  <si>
    <t>Blair, Jacob 4</t>
  </si>
  <si>
    <t>2</t>
  </si>
  <si>
    <t>Production Mechanic C</t>
  </si>
  <si>
    <t>Cathcart,Matthew J</t>
  </si>
  <si>
    <t>Production Mechanic B</t>
  </si>
  <si>
    <t>Smith,Blain</t>
  </si>
  <si>
    <t>Cater,Dylan L</t>
  </si>
  <si>
    <t>1</t>
  </si>
  <si>
    <t>Jig &amp; Fixture B</t>
  </si>
  <si>
    <t>Bugaiski,Aaron</t>
  </si>
  <si>
    <t>Wing Jr,Robert</t>
  </si>
  <si>
    <t>Machinist B</t>
  </si>
  <si>
    <t>Nevins,Kyle</t>
  </si>
  <si>
    <t>Production Mechanic A</t>
  </si>
  <si>
    <t>McCune,Robby D</t>
  </si>
  <si>
    <t>Jig &amp; Fixture A</t>
  </si>
  <si>
    <t>Oliver,Clayton T</t>
  </si>
  <si>
    <t>Scott,Brandon W</t>
  </si>
  <si>
    <t>Bunce,Randy D</t>
  </si>
  <si>
    <t>Ohrt,Sean N</t>
  </si>
  <si>
    <t>Lee,Justin M</t>
  </si>
  <si>
    <t>Inspector A</t>
  </si>
  <si>
    <t>Noveskey,Andrew C</t>
  </si>
  <si>
    <t>Shipping &amp; Receiving B</t>
  </si>
  <si>
    <t>Rubelman,Jestin J</t>
  </si>
  <si>
    <t>Crib Attendant A</t>
  </si>
  <si>
    <t>Miller,Joyce L</t>
  </si>
  <si>
    <t>Pierce,Garrett D</t>
  </si>
  <si>
    <t>Nguyen,Vu V</t>
  </si>
  <si>
    <t>Shaffer,Terry L</t>
  </si>
  <si>
    <t>Richard,Steven S</t>
  </si>
  <si>
    <t>Inspector C</t>
  </si>
  <si>
    <t>Lyman,Zachary D</t>
  </si>
  <si>
    <t>Rogers II,Alfred E</t>
  </si>
  <si>
    <t>Lo,Neng</t>
  </si>
  <si>
    <t>Backe,Jeffrey A</t>
  </si>
  <si>
    <t>Noble,Peter T</t>
  </si>
  <si>
    <t>Buell,Kurt W</t>
  </si>
  <si>
    <t>Elam III,Floyd L</t>
  </si>
  <si>
    <t>Lloyd,Thomas J</t>
  </si>
  <si>
    <t>Bathelemy,Ernso</t>
  </si>
  <si>
    <t>Shipping &amp; Receiving AA</t>
  </si>
  <si>
    <t>Lennon,Kurt</t>
  </si>
  <si>
    <t>Pargan,Mirsad</t>
  </si>
  <si>
    <t>Lor,Naoyeng</t>
  </si>
  <si>
    <t>Nguyen,Maureen L</t>
  </si>
  <si>
    <t>Kessler,Wilhelm 1</t>
  </si>
  <si>
    <t>Blackburn,Michael 2</t>
  </si>
  <si>
    <t>Shipping &amp; Receiving A</t>
  </si>
  <si>
    <t>Myers,Stanley</t>
  </si>
  <si>
    <t>Production Mechanic AA</t>
  </si>
  <si>
    <t>Bancroft,Steve</t>
  </si>
  <si>
    <t>Yang,Lian 3</t>
  </si>
  <si>
    <t>Vue,Shao Y 2</t>
  </si>
  <si>
    <t>Kessler,Naomi 4</t>
  </si>
  <si>
    <t>Earl,Jerry 1</t>
  </si>
  <si>
    <t>Lee,Xai</t>
  </si>
  <si>
    <t>Barringer,Russell</t>
  </si>
  <si>
    <t>Lo,Chuehue</t>
  </si>
  <si>
    <t>Velasquez,Domingo</t>
  </si>
  <si>
    <t>Wilbur,Michael</t>
  </si>
  <si>
    <t>Brown,Norman</t>
  </si>
  <si>
    <t>Fruchey,Jeff</t>
  </si>
  <si>
    <t>Pearson,Daniel</t>
  </si>
  <si>
    <t>Yang,Heu</t>
  </si>
  <si>
    <t>Sabin,John G</t>
  </si>
  <si>
    <t>Huntley,Michael S</t>
  </si>
  <si>
    <t>Fosburg,Matthew J</t>
  </si>
  <si>
    <t>Sugden,Jon A</t>
  </si>
  <si>
    <t>Hinkley,Dale</t>
  </si>
  <si>
    <t>Xiong,Long</t>
  </si>
  <si>
    <t>Cooper,Jacob W</t>
  </si>
  <si>
    <t>Crib Attendant AA</t>
  </si>
  <si>
    <t>Yang,Tong</t>
  </si>
  <si>
    <t>Sweeper AA</t>
  </si>
  <si>
    <t>Carr,Andrew J</t>
  </si>
  <si>
    <t>Grandchamp,Tim W</t>
  </si>
  <si>
    <t>Miller,Ruth</t>
  </si>
  <si>
    <t>Balderas,Danny</t>
  </si>
  <si>
    <t>Nguyen,Thong</t>
  </si>
  <si>
    <t>Goff,Michelle</t>
  </si>
  <si>
    <t>Xiong,Kao</t>
  </si>
  <si>
    <t>Maintenance A</t>
  </si>
  <si>
    <t>Nevins,Kurt W</t>
  </si>
  <si>
    <t>Payne,Samuel A</t>
  </si>
  <si>
    <t>Small,Christopher J</t>
  </si>
  <si>
    <t>McCoy,Michelle</t>
  </si>
  <si>
    <t>Smith,Rebecca</t>
  </si>
  <si>
    <t>Wardwell,Matthew W</t>
  </si>
  <si>
    <t>Lee,Page</t>
  </si>
  <si>
    <t>Jig &amp; Fixture AA</t>
  </si>
  <si>
    <t>Simons,Jeffrey J</t>
  </si>
  <si>
    <t>Ousley Jr,Robert</t>
  </si>
  <si>
    <t>Tran,Tom H</t>
  </si>
  <si>
    <t>Truck Driver AA</t>
  </si>
  <si>
    <t>Lauck,Curtis J</t>
  </si>
  <si>
    <t>Dumire,Eric</t>
  </si>
  <si>
    <t>Nguyen,Chi</t>
  </si>
  <si>
    <t>Droste,Benjamin</t>
  </si>
  <si>
    <t>Pasikowski,Lawrence</t>
  </si>
  <si>
    <t>Moline,Matthew</t>
  </si>
  <si>
    <t>White,Robert</t>
  </si>
  <si>
    <t>Almy,Randy</t>
  </si>
  <si>
    <t>Xiong,Kao 1</t>
  </si>
  <si>
    <t>Welder AA</t>
  </si>
  <si>
    <t>Hoes,David 2</t>
  </si>
  <si>
    <t>Inspector AA</t>
  </si>
  <si>
    <t>Evans,Frederick</t>
  </si>
  <si>
    <t>Maintenance AA</t>
  </si>
  <si>
    <t>Xiong,Leng Nou</t>
  </si>
  <si>
    <t>Nguyen,Brian H 2</t>
  </si>
  <si>
    <t>Lee,FaSue</t>
  </si>
  <si>
    <t>Hodge,Shannon</t>
  </si>
  <si>
    <t>Smith,William</t>
  </si>
  <si>
    <t>Dodge,Lucinda</t>
  </si>
  <si>
    <t>Spates,Wilburn</t>
  </si>
  <si>
    <t>Anderson,Scott</t>
  </si>
  <si>
    <t>Shinaver,John</t>
  </si>
  <si>
    <t>Wilkins,Chris</t>
  </si>
  <si>
    <t>Garcia,Rudy</t>
  </si>
  <si>
    <t>Lab Assistant AA</t>
  </si>
  <si>
    <t>Terry,Timothy</t>
  </si>
  <si>
    <t>Dragan,Daniel F</t>
  </si>
  <si>
    <t>Austin,Larry</t>
  </si>
  <si>
    <t>Schlappi,Ron</t>
  </si>
  <si>
    <t>Bosley,Dennis</t>
  </si>
  <si>
    <t>Kring,Thomas</t>
  </si>
  <si>
    <t>Shiffer,Robert Greg</t>
  </si>
  <si>
    <t>Hoskins,Scheline</t>
  </si>
  <si>
    <t>Machinist AA</t>
  </si>
  <si>
    <t>Sinclair,Gordon</t>
  </si>
  <si>
    <t>Tran,Quang Thanh</t>
  </si>
  <si>
    <t>Nguyen,Thuc</t>
  </si>
  <si>
    <t>Smith,Harold</t>
  </si>
  <si>
    <t>Bentley,Russell</t>
  </si>
  <si>
    <t>Nguyen,Tony Quang</t>
  </si>
  <si>
    <t>Linzey,Kurt 1</t>
  </si>
  <si>
    <t>Dewey,Raymond 2</t>
  </si>
  <si>
    <t>Abronowitz,Kyle</t>
  </si>
  <si>
    <t>Lilly,David</t>
  </si>
  <si>
    <t>Lardie,Linda</t>
  </si>
  <si>
    <t>Hill,Ronald</t>
  </si>
  <si>
    <t>Miller,Brian</t>
  </si>
  <si>
    <t>Little,Young</t>
  </si>
  <si>
    <t>Mull,Mitchell</t>
  </si>
  <si>
    <t>Fritts,Reginald</t>
  </si>
  <si>
    <t>Jones,Seong</t>
  </si>
  <si>
    <t>Cousino,Richard</t>
  </si>
  <si>
    <t>Moline,Mark</t>
  </si>
  <si>
    <t>Tran,Don</t>
  </si>
  <si>
    <t>Williams,Bobby</t>
  </si>
  <si>
    <t>Baker,Todd</t>
  </si>
  <si>
    <t>Hammell,Charles</t>
  </si>
  <si>
    <t>Watson,Donald</t>
  </si>
  <si>
    <t>Adair,Pamela</t>
  </si>
  <si>
    <t>Trierweiler,David 1</t>
  </si>
  <si>
    <t>Cathcart,Gregory 2</t>
  </si>
  <si>
    <t>Tanner,Brian</t>
  </si>
  <si>
    <t>Johnson,Michael</t>
  </si>
  <si>
    <t>Bulock,Brad</t>
  </si>
  <si>
    <t>Keyes,Robert</t>
  </si>
  <si>
    <t>Buell,Robert</t>
  </si>
  <si>
    <t>Barringer,Terry</t>
  </si>
  <si>
    <t>Mullins,Janice</t>
  </si>
  <si>
    <t>Whitbeck,Rick</t>
  </si>
  <si>
    <t>Guthrie,Vickie</t>
  </si>
  <si>
    <t>Job Title</t>
  </si>
  <si>
    <t>Continuous Service Date</t>
  </si>
  <si>
    <t>Name</t>
  </si>
  <si>
    <t>Scott</t>
  </si>
  <si>
    <t>Larry</t>
  </si>
  <si>
    <t>Randy</t>
  </si>
  <si>
    <t>Mitchell</t>
  </si>
  <si>
    <t>Floyd</t>
  </si>
  <si>
    <t>Wilhelm</t>
  </si>
  <si>
    <t>Thuc</t>
  </si>
  <si>
    <t>Andrew</t>
  </si>
  <si>
    <t>Sean</t>
  </si>
  <si>
    <t>Al</t>
  </si>
  <si>
    <t>John</t>
  </si>
  <si>
    <t>Terry</t>
  </si>
  <si>
    <t>Blain</t>
  </si>
  <si>
    <t>William</t>
  </si>
  <si>
    <t>David</t>
  </si>
  <si>
    <t>Phat</t>
  </si>
  <si>
    <t>Vue</t>
  </si>
  <si>
    <t>Kou</t>
  </si>
  <si>
    <t>Initial</t>
  </si>
  <si>
    <t>1st choice</t>
  </si>
  <si>
    <t>2nd choice</t>
  </si>
  <si>
    <t>3rd choice</t>
  </si>
  <si>
    <t>4th choice</t>
  </si>
  <si>
    <t>AWW</t>
  </si>
  <si>
    <t>Harrison</t>
  </si>
  <si>
    <t>Jewel</t>
  </si>
  <si>
    <t>Jason</t>
  </si>
  <si>
    <t>Nicholas</t>
  </si>
  <si>
    <t>Schwab</t>
  </si>
  <si>
    <t>Mindy</t>
  </si>
  <si>
    <t>Yang</t>
  </si>
  <si>
    <t>Phong</t>
  </si>
  <si>
    <t>Wiegman</t>
  </si>
  <si>
    <t>Pham</t>
  </si>
  <si>
    <t>Inspection</t>
  </si>
  <si>
    <t>3rd</t>
  </si>
  <si>
    <t>Gonzalez</t>
  </si>
  <si>
    <t>Julio</t>
  </si>
  <si>
    <t>Kring</t>
  </si>
  <si>
    <t>Lo</t>
  </si>
  <si>
    <t>McCoy</t>
  </si>
  <si>
    <t>Page</t>
  </si>
  <si>
    <t>Channing</t>
  </si>
  <si>
    <t>Smith</t>
  </si>
  <si>
    <t>Mason</t>
  </si>
  <si>
    <t>Danyale</t>
  </si>
  <si>
    <t>Autoclave</t>
  </si>
  <si>
    <t>Patrick</t>
  </si>
  <si>
    <t>Chambers</t>
  </si>
  <si>
    <t>Stevenson</t>
  </si>
  <si>
    <t>Kadlek</t>
  </si>
  <si>
    <t>Kaua</t>
  </si>
  <si>
    <t>Vang</t>
  </si>
  <si>
    <t>Prime</t>
  </si>
  <si>
    <t>Button</t>
  </si>
  <si>
    <t>Regan</t>
  </si>
  <si>
    <t>Mattocks</t>
  </si>
  <si>
    <t>Brigette</t>
  </si>
  <si>
    <t>Oviatt</t>
  </si>
  <si>
    <t>Peen</t>
  </si>
  <si>
    <t>Inspector</t>
  </si>
  <si>
    <t>OT Accepted</t>
  </si>
  <si>
    <t>OT Offered</t>
  </si>
  <si>
    <t>Vashon</t>
  </si>
  <si>
    <t>Daniel</t>
  </si>
  <si>
    <t>Telling</t>
  </si>
  <si>
    <t>Tim</t>
  </si>
  <si>
    <t>Nguyen</t>
  </si>
  <si>
    <t>Minh</t>
  </si>
  <si>
    <t>Taylor</t>
  </si>
  <si>
    <t>Moore</t>
  </si>
  <si>
    <t>Smalley</t>
  </si>
  <si>
    <t>Joshua</t>
  </si>
  <si>
    <t>LE Demold</t>
  </si>
  <si>
    <t>Shop Floor Control</t>
  </si>
  <si>
    <t>Dewey, Kevin</t>
  </si>
  <si>
    <t>Carr, Ryan</t>
  </si>
  <si>
    <t>Kaminski, Ryan</t>
  </si>
  <si>
    <t>Vue, Kou</t>
  </si>
  <si>
    <t>Harrison, Jason</t>
  </si>
  <si>
    <t>Schwab, Mindy</t>
  </si>
  <si>
    <t>Yang, Phong</t>
  </si>
  <si>
    <t>Gonzalez, Julio</t>
  </si>
  <si>
    <t>Kring, Justin</t>
  </si>
  <si>
    <t>Lo, Kevin</t>
  </si>
  <si>
    <t>Lo, Kong</t>
  </si>
  <si>
    <t>McCoy, Mitch</t>
  </si>
  <si>
    <t>Page, Channing</t>
  </si>
  <si>
    <t>Bissell, Cory</t>
  </si>
  <si>
    <t>Mason, Danyale</t>
  </si>
  <si>
    <t>Scott, Nathan</t>
  </si>
  <si>
    <t>Kaua, Vang</t>
  </si>
  <si>
    <t>Matthew, Button</t>
  </si>
  <si>
    <t>Mattocks, Brigette</t>
  </si>
  <si>
    <t>Oviatt, Nicholas</t>
  </si>
  <si>
    <t>Vashon, Daniel</t>
  </si>
  <si>
    <t>Telling, Matthew</t>
  </si>
  <si>
    <t>Fardel, Tim</t>
  </si>
  <si>
    <t>Nguyen, Minh</t>
  </si>
  <si>
    <t>Taylor, Andrew</t>
  </si>
  <si>
    <t>Moore, Jason</t>
  </si>
  <si>
    <t>Smalley, Joshua</t>
  </si>
  <si>
    <t>Ayers, Dustin</t>
  </si>
  <si>
    <t>Kaman, Richard</t>
  </si>
  <si>
    <t>Meredith, Alvin</t>
  </si>
  <si>
    <t>Chambers, Patrick</t>
  </si>
  <si>
    <t>Dilly, Nate</t>
  </si>
  <si>
    <t>Faucher, Tony</t>
  </si>
  <si>
    <t>Kadlek, Patrick</t>
  </si>
  <si>
    <t>Le, Danny</t>
  </si>
  <si>
    <t>Pargan, Mirsad</t>
  </si>
  <si>
    <t>Phan, Phat</t>
  </si>
  <si>
    <t>Rubleman, Jestin</t>
  </si>
  <si>
    <t>Stevenson, Scott</t>
  </si>
  <si>
    <t>1st Choice</t>
  </si>
  <si>
    <t>Shift Preference Form</t>
  </si>
  <si>
    <t>Options:
1 = First Shift
2= Second Shift
3= Third Shift
AWW= Alternative Work Week</t>
  </si>
  <si>
    <t>Bunce</t>
  </si>
  <si>
    <t>Bunce, Randy</t>
  </si>
  <si>
    <t>Balderas</t>
  </si>
  <si>
    <t>Austin</t>
  </si>
  <si>
    <t>Union Date</t>
  </si>
  <si>
    <t>Finish Ops</t>
  </si>
  <si>
    <t>Heu</t>
  </si>
  <si>
    <t>Prime/Finish Ops</t>
  </si>
  <si>
    <t>Fandel</t>
  </si>
  <si>
    <t>Novesky</t>
  </si>
  <si>
    <t>Ohrt</t>
  </si>
  <si>
    <t>Rogers</t>
  </si>
  <si>
    <t>Shaffer</t>
  </si>
  <si>
    <t>Wilbur</t>
  </si>
  <si>
    <t>Dean</t>
  </si>
  <si>
    <t>Micah</t>
  </si>
  <si>
    <t>Greg</t>
  </si>
  <si>
    <t>Holzhausen-McCarrick</t>
  </si>
  <si>
    <t>Churchill</t>
  </si>
  <si>
    <t>Backe</t>
  </si>
  <si>
    <t>Elam</t>
  </si>
  <si>
    <t>Kessler</t>
  </si>
  <si>
    <t>Lyman</t>
  </si>
  <si>
    <t>Blair, Jacob</t>
  </si>
  <si>
    <t>Kessler, Rudolph</t>
  </si>
  <si>
    <t>Kessler, Naomi</t>
  </si>
  <si>
    <t>Kessler, Wilhelm</t>
  </si>
  <si>
    <t>Keener, Ronald</t>
  </si>
  <si>
    <t>Anderson, Scott</t>
  </si>
  <si>
    <t>Austin, Larry</t>
  </si>
  <si>
    <t>Backe, Jeffrey</t>
  </si>
  <si>
    <t>Bathelemy, Ernso</t>
  </si>
  <si>
    <t>Elam, Floyd</t>
  </si>
  <si>
    <t>Fosburg, Matthew</t>
  </si>
  <si>
    <t>Fritts, Reginald</t>
  </si>
  <si>
    <t>Hua, Phil</t>
  </si>
  <si>
    <t>Kring, Tom</t>
  </si>
  <si>
    <t>Lardie, Linda</t>
  </si>
  <si>
    <t>Lee, Xai</t>
  </si>
  <si>
    <t>Linzey, Kurt</t>
  </si>
  <si>
    <t>Lor, Naoyeng</t>
  </si>
  <si>
    <t>Lyman, Zachary</t>
  </si>
  <si>
    <t>Miller, Gary</t>
  </si>
  <si>
    <t>Miller, Ruth</t>
  </si>
  <si>
    <t>Nguyen, Brian</t>
  </si>
  <si>
    <t>Nguyen, Thuc</t>
  </si>
  <si>
    <t>Noble, Peter</t>
  </si>
  <si>
    <t>Novesky, Andrew</t>
  </si>
  <si>
    <t>Ohrt, Sean</t>
  </si>
  <si>
    <t>Pierce, Garrett</t>
  </si>
  <si>
    <t>Rogers, Al</t>
  </si>
  <si>
    <t>Romah, Ueo</t>
  </si>
  <si>
    <t>Shaffer, Terry</t>
  </si>
  <si>
    <t>Smith, Blain</t>
  </si>
  <si>
    <t>Smith, William</t>
  </si>
  <si>
    <t>Taylor, Steven</t>
  </si>
  <si>
    <t>Wilbur, Michael</t>
  </si>
  <si>
    <t>Regan, Janetzke</t>
  </si>
  <si>
    <t>Janetzke</t>
  </si>
  <si>
    <t>Wiegman, John</t>
  </si>
  <si>
    <t>Yang, Hue</t>
  </si>
  <si>
    <t>Holzhausen-McCarrick, Greg</t>
  </si>
  <si>
    <t>James</t>
  </si>
  <si>
    <t>Allen</t>
  </si>
  <si>
    <t>Hector</t>
  </si>
  <si>
    <t>Ornelas</t>
  </si>
  <si>
    <t>Devanta</t>
  </si>
  <si>
    <t>Clanton</t>
  </si>
  <si>
    <t>Bond room (1)</t>
  </si>
  <si>
    <t>Crib</t>
  </si>
  <si>
    <t>Huntley</t>
  </si>
  <si>
    <t>Shannon</t>
  </si>
  <si>
    <t>Summers</t>
  </si>
  <si>
    <t>Shawn</t>
  </si>
  <si>
    <t>Schlicker</t>
  </si>
  <si>
    <t>Colin</t>
  </si>
  <si>
    <t>Overtime Sign up</t>
  </si>
  <si>
    <t>Rudolf</t>
  </si>
  <si>
    <t>Damen</t>
  </si>
  <si>
    <t>LPB</t>
  </si>
  <si>
    <t>Peen/ Chem Glaze</t>
  </si>
  <si>
    <t>Andy</t>
  </si>
  <si>
    <t>Lance</t>
  </si>
  <si>
    <t>Reiner</t>
  </si>
  <si>
    <t>FRITTS, REGINALD</t>
  </si>
  <si>
    <t>LARDIE, LINDA</t>
  </si>
  <si>
    <t>KRING, THOMAS</t>
  </si>
  <si>
    <t>NGUYEN, BRIAN (Ha)</t>
  </si>
  <si>
    <t>Balderas, Danny</t>
  </si>
  <si>
    <t>MILLER, RUTH</t>
  </si>
  <si>
    <t>FOSBURG, MATTHEW</t>
  </si>
  <si>
    <t>Huntley, Shannon</t>
  </si>
  <si>
    <t>Yang, Heu</t>
  </si>
  <si>
    <t>LEE, XAI</t>
  </si>
  <si>
    <t>KESSLER, NAOMI</t>
  </si>
  <si>
    <t>KESSLER, RUDOLF</t>
  </si>
  <si>
    <t>LOR, NAOYENG</t>
  </si>
  <si>
    <t>BATHELEMY, ERNSO</t>
  </si>
  <si>
    <t>NOBLE, PETER</t>
  </si>
  <si>
    <t>BACKE, JEFFREY</t>
  </si>
  <si>
    <t>Novesky, Andy</t>
  </si>
  <si>
    <t>BLAIR, JACOB</t>
  </si>
  <si>
    <t>KEENER, RONALD</t>
  </si>
  <si>
    <t>ROMAH, UEO</t>
  </si>
  <si>
    <t>HUA, PHI</t>
  </si>
  <si>
    <t>TAYLOR, STEVEN</t>
  </si>
  <si>
    <t>Clover, Mitch</t>
  </si>
  <si>
    <t>Dilley, Nathan</t>
  </si>
  <si>
    <t>Faucher, Anthony</t>
  </si>
  <si>
    <t>LE, Danny</t>
  </si>
  <si>
    <t>Pham, Phat</t>
  </si>
  <si>
    <t>Jewel, Nicholas</t>
  </si>
  <si>
    <t>Patrick, Chambers</t>
  </si>
  <si>
    <t>Scott, Stevenson</t>
  </si>
  <si>
    <t>Bullock, Matthew</t>
  </si>
  <si>
    <t>Fandel, Tim</t>
  </si>
  <si>
    <t>Micah, Dean</t>
  </si>
  <si>
    <t>Churchill, David</t>
  </si>
  <si>
    <t>James, John</t>
  </si>
  <si>
    <t>Loudenbeck, Kyle</t>
  </si>
  <si>
    <t>Nguyen, Allen</t>
  </si>
  <si>
    <t>Ornelas, Hector</t>
  </si>
  <si>
    <t>Clanton, Devanta</t>
  </si>
  <si>
    <t>Johnson, Ralph</t>
  </si>
  <si>
    <t>Damen, Shawn</t>
  </si>
  <si>
    <t>Summers, Justin</t>
  </si>
  <si>
    <t>Schlicker, Colin</t>
  </si>
  <si>
    <t>Reiner, Lance</t>
  </si>
  <si>
    <t xml:space="preserve">Options:
1st Shift
2nd Shift
3rd Shift
</t>
  </si>
  <si>
    <t>Shift Preference Form 1/11/16</t>
  </si>
  <si>
    <t>Seong</t>
  </si>
  <si>
    <t>Jones</t>
  </si>
  <si>
    <t>Repair</t>
  </si>
  <si>
    <t>LE Blend</t>
  </si>
  <si>
    <t>Zach</t>
  </si>
  <si>
    <t>Mike</t>
  </si>
  <si>
    <t>Launch/Kit</t>
  </si>
  <si>
    <t>Bond Room</t>
  </si>
  <si>
    <t>Shipping</t>
  </si>
  <si>
    <t>Work Center</t>
  </si>
  <si>
    <t>Classification</t>
  </si>
  <si>
    <t>Production Mechanic</t>
  </si>
  <si>
    <t>Crib Attendant</t>
  </si>
  <si>
    <t>Michael</t>
  </si>
  <si>
    <t>Robert</t>
  </si>
  <si>
    <t>Conrad</t>
  </si>
  <si>
    <t>Paul</t>
  </si>
  <si>
    <t>McLean</t>
  </si>
  <si>
    <t>Trevor</t>
  </si>
  <si>
    <t>Inspector Trainee</t>
  </si>
  <si>
    <t>Ted</t>
  </si>
  <si>
    <t>Fries</t>
  </si>
  <si>
    <t>Armstrong</t>
  </si>
  <si>
    <t>Jones, Seong</t>
  </si>
  <si>
    <t>Dean, Micah</t>
  </si>
  <si>
    <t>Conrad, Robert</t>
  </si>
  <si>
    <t>Michael, Nathan</t>
  </si>
  <si>
    <t>McLean, Trevor</t>
  </si>
  <si>
    <t>Vue, Paul</t>
  </si>
  <si>
    <t>Vue, Ted</t>
  </si>
  <si>
    <t>Fries, Robert</t>
  </si>
  <si>
    <t>Armstrong, James</t>
  </si>
  <si>
    <t>Kollman</t>
  </si>
  <si>
    <t>Erik</t>
  </si>
  <si>
    <t>Fedewa</t>
  </si>
  <si>
    <t>Kyle</t>
  </si>
  <si>
    <t>Swan</t>
  </si>
  <si>
    <t>Seong Jones</t>
  </si>
  <si>
    <t>Union</t>
  </si>
  <si>
    <t>LINDA LARDIE</t>
  </si>
  <si>
    <t>Thuc Nguyen</t>
  </si>
  <si>
    <t>THOMAS KRING</t>
  </si>
  <si>
    <t>Larry Austin</t>
  </si>
  <si>
    <t>William Smith</t>
  </si>
  <si>
    <t>BRIAN (Ha) NGUYEN</t>
  </si>
  <si>
    <t>Danny Balderas</t>
  </si>
  <si>
    <t>RUTH MILLER</t>
  </si>
  <si>
    <t>MATTHEW FOSBURG</t>
  </si>
  <si>
    <t>Shannon Huntley</t>
  </si>
  <si>
    <t>Heu Yang</t>
  </si>
  <si>
    <t>Mike Wilbur</t>
  </si>
  <si>
    <t>XAI LEE</t>
  </si>
  <si>
    <t>NAOMI KESSLER</t>
  </si>
  <si>
    <t>RUDOLF KESSLER</t>
  </si>
  <si>
    <t>NAOYENG LOR</t>
  </si>
  <si>
    <t>ERNSO BATHELEMY</t>
  </si>
  <si>
    <t>PETER NOBLE</t>
  </si>
  <si>
    <t>JEFFREY BACKE</t>
  </si>
  <si>
    <t>Al Rogers</t>
  </si>
  <si>
    <t>Zach Lyman</t>
  </si>
  <si>
    <t>Terry Shaffer</t>
  </si>
  <si>
    <t>Andy Novesky</t>
  </si>
  <si>
    <t>Sean Ohrt</t>
  </si>
  <si>
    <t>Randy Bunce</t>
  </si>
  <si>
    <t>Blain Smith</t>
  </si>
  <si>
    <t>JACOB BLAIR</t>
  </si>
  <si>
    <t>PHI HUA</t>
  </si>
  <si>
    <t>STEVEN TAYLOR</t>
  </si>
  <si>
    <t>Nathan Dilley</t>
  </si>
  <si>
    <t>Anthony Faucher</t>
  </si>
  <si>
    <t>Danny LE</t>
  </si>
  <si>
    <t>Ryan Carr</t>
  </si>
  <si>
    <t>Kevin Dewey</t>
  </si>
  <si>
    <t>Ryan Kaminski</t>
  </si>
  <si>
    <t>Phat Pham</t>
  </si>
  <si>
    <t>Kou Vue</t>
  </si>
  <si>
    <t>Jason Harrison</t>
  </si>
  <si>
    <t>Nicholas Jewel</t>
  </si>
  <si>
    <t>Mindy Schwab</t>
  </si>
  <si>
    <t>John Wiegman</t>
  </si>
  <si>
    <t>Phong Yang</t>
  </si>
  <si>
    <t>Julio Gonzalez</t>
  </si>
  <si>
    <t>Justin Kring</t>
  </si>
  <si>
    <t>Kevin Lo</t>
  </si>
  <si>
    <t>Danyale Mason</t>
  </si>
  <si>
    <t>Mitch McCoy</t>
  </si>
  <si>
    <t>Channing Page</t>
  </si>
  <si>
    <t>Nathan Scott</t>
  </si>
  <si>
    <t>Patrick Kadlek</t>
  </si>
  <si>
    <t>Brigette Mattocks</t>
  </si>
  <si>
    <t>Nicholas Oviatt</t>
  </si>
  <si>
    <t>Tim Fandel</t>
  </si>
  <si>
    <t>Jason Moore</t>
  </si>
  <si>
    <t>Minh Nguyen</t>
  </si>
  <si>
    <t>Joshua Smalley</t>
  </si>
  <si>
    <t>Andrew Taylor</t>
  </si>
  <si>
    <t>Matthew Telling</t>
  </si>
  <si>
    <t>David Churchill</t>
  </si>
  <si>
    <t>Micah Dean</t>
  </si>
  <si>
    <t>Greg Holzhausen-McCarrick</t>
  </si>
  <si>
    <t>Devanta Clanton</t>
  </si>
  <si>
    <t>John James</t>
  </si>
  <si>
    <t>Allen Nguyen</t>
  </si>
  <si>
    <t>Hector Ornelas</t>
  </si>
  <si>
    <t>Shawn Damen</t>
  </si>
  <si>
    <t>Colin Schlicker</t>
  </si>
  <si>
    <t>Justin Summers</t>
  </si>
  <si>
    <t>Lance Reiner</t>
  </si>
  <si>
    <t>Robert Conrad</t>
  </si>
  <si>
    <t>Nathan Michael</t>
  </si>
  <si>
    <t>Trevor McLean</t>
  </si>
  <si>
    <t>Paul Vue</t>
  </si>
  <si>
    <t>Ted Vue</t>
  </si>
  <si>
    <t>Robert Fries</t>
  </si>
  <si>
    <t>James Armstrong</t>
  </si>
  <si>
    <t>Erik Kollman</t>
  </si>
  <si>
    <t>Kyle Fedewa</t>
  </si>
  <si>
    <t>Michael Swan</t>
  </si>
  <si>
    <t>Regan Janetzke</t>
  </si>
  <si>
    <t>Kaua Vang</t>
  </si>
  <si>
    <t>Middle/Finish Ops</t>
  </si>
  <si>
    <t>Wilhelm Kessler</t>
  </si>
  <si>
    <t>Matthew Button</t>
  </si>
  <si>
    <t>Patrick Chambers</t>
  </si>
  <si>
    <t>Scott Stevenson</t>
  </si>
  <si>
    <t>Eric</t>
  </si>
  <si>
    <t>Eric Carr</t>
  </si>
  <si>
    <t>Miller</t>
  </si>
  <si>
    <t>Jacob</t>
  </si>
  <si>
    <t>Jacob Miller</t>
  </si>
  <si>
    <t>Pierce</t>
  </si>
  <si>
    <t>Garrett</t>
  </si>
  <si>
    <t>Garrett Pierce</t>
  </si>
  <si>
    <t>Current Shift</t>
  </si>
  <si>
    <t>2nd Choice</t>
  </si>
  <si>
    <t>3rd Choice</t>
  </si>
  <si>
    <t>4th Choice</t>
  </si>
  <si>
    <t>Shift Preference
(1st Shift/ 2nd Shift/ 3rd Shift/ AWW)</t>
  </si>
  <si>
    <t>After May 5</t>
  </si>
  <si>
    <t>Daniel Vachon</t>
  </si>
  <si>
    <t>Vachon</t>
  </si>
  <si>
    <t>SVG</t>
  </si>
  <si>
    <t>Hoskins, Scheline</t>
  </si>
  <si>
    <t>Norris, Chad</t>
  </si>
  <si>
    <t>Passick, Ashely</t>
  </si>
  <si>
    <t>Peterman, Tadd</t>
  </si>
  <si>
    <t>Reeves, Nathan</t>
  </si>
  <si>
    <t>Winn, Jacob</t>
  </si>
  <si>
    <t>Winter, Justen</t>
  </si>
  <si>
    <t>Schultz, Jacob</t>
  </si>
  <si>
    <t>SVG?</t>
  </si>
  <si>
    <t>3rd Shift Line???</t>
  </si>
  <si>
    <t>Current shift</t>
  </si>
  <si>
    <t>Crib Attendant C</t>
  </si>
  <si>
    <t>Maintenance Trainee</t>
  </si>
  <si>
    <t>Shipping &amp; Receiving C</t>
  </si>
  <si>
    <t>Lab Tech</t>
  </si>
  <si>
    <t>Harrison, Jason 1</t>
  </si>
  <si>
    <t>Wiegman, John 2</t>
  </si>
  <si>
    <t>Schwab, Mindy 3</t>
  </si>
  <si>
    <t>Jewell, Nick 4</t>
  </si>
  <si>
    <t>Kring, Justin 2</t>
  </si>
  <si>
    <t>Lo, Kevin 3</t>
  </si>
  <si>
    <t>Buell, Eric 4</t>
  </si>
  <si>
    <t>Maintenance B</t>
  </si>
  <si>
    <t>Gonzalez, Julio 5</t>
  </si>
  <si>
    <t>Mason, Danyale 2</t>
  </si>
  <si>
    <t>McCoy, Mitchal 3</t>
  </si>
  <si>
    <t>Lo, Kong 4</t>
  </si>
  <si>
    <t>Page, Channing 6</t>
  </si>
  <si>
    <t>Scott, Nathan 7</t>
  </si>
  <si>
    <t>Chambers, Patrick 1</t>
  </si>
  <si>
    <t>Stevenson, Scott 3</t>
  </si>
  <si>
    <t>Kadlek, Patrick 4</t>
  </si>
  <si>
    <t>Worden, Cody 5</t>
  </si>
  <si>
    <t>Truck Driver</t>
  </si>
  <si>
    <t>Carr, Eric 6</t>
  </si>
  <si>
    <t>Schultz, Jacob 7</t>
  </si>
  <si>
    <t>Winter, Justen 8</t>
  </si>
  <si>
    <t>Vang, Koua 9</t>
  </si>
  <si>
    <t>Beech, Kyle 10</t>
  </si>
  <si>
    <t>Passick, Ashely 1</t>
  </si>
  <si>
    <t>Medbury, Katherine 2</t>
  </si>
  <si>
    <t>Button, Matt 4</t>
  </si>
  <si>
    <t>Fenn, Mark 6</t>
  </si>
  <si>
    <t>Gibson, Tony 7</t>
  </si>
  <si>
    <t>Woods, Conner 8</t>
  </si>
  <si>
    <t>Katafiasz, Jeremy 9</t>
  </si>
  <si>
    <t>Janetzke, Regan 10</t>
  </si>
  <si>
    <t>Yang, Luke 11</t>
  </si>
  <si>
    <t>Austin, James 12</t>
  </si>
  <si>
    <t>Smith, Chris 1</t>
  </si>
  <si>
    <t>Mattocks, Brigette 2</t>
  </si>
  <si>
    <t>Yang, Paul 3</t>
  </si>
  <si>
    <t>Oviatt, Nick 4</t>
  </si>
  <si>
    <t>Bullock, Matt 1</t>
  </si>
  <si>
    <t>Peterman, Tadd 2</t>
  </si>
  <si>
    <t>Lo, YemLing 3</t>
  </si>
  <si>
    <t>Johnson, Walter 4</t>
  </si>
  <si>
    <t>VanOtteren, Mackenzie 5</t>
  </si>
  <si>
    <t>Hang, Billy 6</t>
  </si>
  <si>
    <t>Moore, Jason 1</t>
  </si>
  <si>
    <t>Nguyen, Minh 2</t>
  </si>
  <si>
    <t>Vachon, Daniel 3</t>
  </si>
  <si>
    <t>Kamins, Richard 4</t>
  </si>
  <si>
    <t>Taylor, Andrew 5</t>
  </si>
  <si>
    <t>Telling, Matthew 6</t>
  </si>
  <si>
    <t>Fandel, Tim 8</t>
  </si>
  <si>
    <t>Smalley, Joshua 9</t>
  </si>
  <si>
    <t>Possible New 3rd shift line</t>
  </si>
  <si>
    <t>Dean, Micah 1</t>
  </si>
  <si>
    <t>Churchill, David 2</t>
  </si>
  <si>
    <t>Holzhausen-McCarrick, Greg 5</t>
  </si>
  <si>
    <t>Scythian, Mark 1</t>
  </si>
  <si>
    <t>Norris, Chad 2</t>
  </si>
  <si>
    <t>Barber, Garrett 3</t>
  </si>
  <si>
    <t>Loudenbeck, Kyle 4</t>
  </si>
  <si>
    <t>Ware, Charles 5</t>
  </si>
  <si>
    <t>Wilyard, Chad 6</t>
  </si>
  <si>
    <t>Ornelas, Hector 7</t>
  </si>
  <si>
    <t>Johnson, Ralph 8</t>
  </si>
  <si>
    <t>Maintenance C</t>
  </si>
  <si>
    <t>Nguyen, Allen 9</t>
  </si>
  <si>
    <t>James, John 10</t>
  </si>
  <si>
    <t>Clanton, Devanta 11</t>
  </si>
  <si>
    <t>Arnold, Daniel 1</t>
  </si>
  <si>
    <t>Vanarsdal, Marvin 2</t>
  </si>
  <si>
    <t>Dunalp, Mark 3</t>
  </si>
  <si>
    <t>Hughson, Luke 4</t>
  </si>
  <si>
    <t>Hackworth, Johnathon 5</t>
  </si>
  <si>
    <t>Hendrickson, Marshall 6</t>
  </si>
  <si>
    <t>Hayner, Brett 2</t>
  </si>
  <si>
    <t>Summers, Justin 3</t>
  </si>
  <si>
    <t>Penfield, Douglas 4</t>
  </si>
  <si>
    <t>Winn, Jacob 5</t>
  </si>
  <si>
    <t>Norris, Jacob 6</t>
  </si>
  <si>
    <t>Getz, Michael 7</t>
  </si>
  <si>
    <t>Grzelak-Earles, Andrew 8</t>
  </si>
  <si>
    <t>Daman, Shawn 9</t>
  </si>
  <si>
    <t>Schlicker, Colin 10</t>
  </si>
  <si>
    <t>Shepherd, Chris 1</t>
  </si>
  <si>
    <t>Femster, Karoni 2</t>
  </si>
  <si>
    <t>Issac, Rince 3</t>
  </si>
  <si>
    <t>Galena, Randall 4</t>
  </si>
  <si>
    <t>Reeves, Nathan 5</t>
  </si>
  <si>
    <t>Gordon, Kelly 6</t>
  </si>
  <si>
    <t>Thao, Thai 7</t>
  </si>
  <si>
    <t>Reiner, Lance 8</t>
  </si>
  <si>
    <t>Fox, Adam 1</t>
  </si>
  <si>
    <t>Conrad, Robert 2</t>
  </si>
  <si>
    <t>Michael,  Nathan 3</t>
  </si>
  <si>
    <t>Vue, Paul 1</t>
  </si>
  <si>
    <t>McLean, Trevor 2</t>
  </si>
  <si>
    <t xml:space="preserve"> Fries, Robert</t>
  </si>
  <si>
    <t xml:space="preserve">Vue, Ted </t>
  </si>
  <si>
    <t xml:space="preserve">Olsen, Dominick </t>
  </si>
  <si>
    <t xml:space="preserve">Vang, Abraham </t>
  </si>
  <si>
    <t xml:space="preserve">Carey, Ben </t>
  </si>
  <si>
    <t xml:space="preserve">Kollman , Erik </t>
  </si>
  <si>
    <t xml:space="preserve">Fedewa, Kyle </t>
  </si>
  <si>
    <t xml:space="preserve">Swan, Michael </t>
  </si>
  <si>
    <t xml:space="preserve">Yang, Tyrone </t>
  </si>
  <si>
    <t>Hartman</t>
  </si>
  <si>
    <t>Yupeng</t>
  </si>
  <si>
    <t>Johnson</t>
  </si>
  <si>
    <t>Donald</t>
  </si>
  <si>
    <t>RONALD KEENER</t>
  </si>
  <si>
    <t>Ben Hartman</t>
  </si>
  <si>
    <t>Yupeng Vue</t>
  </si>
  <si>
    <t>Donald Johnson</t>
  </si>
  <si>
    <t>Ricky</t>
  </si>
  <si>
    <t>Chua</t>
  </si>
  <si>
    <t>Worden, Cody</t>
  </si>
  <si>
    <t>Shipping and Receiving</t>
  </si>
  <si>
    <t>Vue, Yupeng</t>
  </si>
  <si>
    <t>Vue, Chua</t>
  </si>
  <si>
    <t>Vang, Koua</t>
  </si>
  <si>
    <t>Vachon, Daniel</t>
  </si>
  <si>
    <t>Swan, Michael</t>
  </si>
  <si>
    <t>Reiner, Lancer</t>
  </si>
  <si>
    <t>Oviatt, Nick</t>
  </si>
  <si>
    <t>Miller, Jacob</t>
  </si>
  <si>
    <t>McCoy, Mitchal</t>
  </si>
  <si>
    <t>Lo, Ricky</t>
  </si>
  <si>
    <t>Little, Young</t>
  </si>
  <si>
    <t>Kollman, Erik</t>
  </si>
  <si>
    <t>Kessler, Rudolf</t>
  </si>
  <si>
    <t>Johnson, Donald</t>
  </si>
  <si>
    <t>Jewell, Nicholas</t>
  </si>
  <si>
    <t>Janetzke, Regan</t>
  </si>
  <si>
    <t>Huntley, Michael</t>
  </si>
  <si>
    <t>Hua, Phi</t>
  </si>
  <si>
    <t>Hiner, Cody</t>
  </si>
  <si>
    <t>Hartman, Benjamin</t>
  </si>
  <si>
    <t>Fedewa, Kyle</t>
  </si>
  <si>
    <t>Fandel, Timothy</t>
  </si>
  <si>
    <t>Daman, Shawn</t>
  </si>
  <si>
    <t>Cousineau, Stephen</t>
  </si>
  <si>
    <t>Carr, Eric</t>
  </si>
  <si>
    <t>Button, Matt</t>
  </si>
  <si>
    <t>Anniversary</t>
  </si>
  <si>
    <t>Clock</t>
  </si>
  <si>
    <t>Union (Y/N)</t>
  </si>
  <si>
    <t>Y</t>
  </si>
  <si>
    <t>N</t>
  </si>
  <si>
    <t>Fritts</t>
  </si>
  <si>
    <t>Little</t>
  </si>
  <si>
    <t>Lardie</t>
  </si>
  <si>
    <t>Fosburg</t>
  </si>
  <si>
    <t>Lee</t>
  </si>
  <si>
    <t>Pargan</t>
  </si>
  <si>
    <t>Bathelemy</t>
  </si>
  <si>
    <t>Blair</t>
  </si>
  <si>
    <t>Keener</t>
  </si>
  <si>
    <t>Hua</t>
  </si>
  <si>
    <t>Hudecek</t>
  </si>
  <si>
    <t>Le</t>
  </si>
  <si>
    <t>Jewell</t>
  </si>
  <si>
    <t>Worden</t>
  </si>
  <si>
    <t>Daman</t>
  </si>
  <si>
    <t>Hiner</t>
  </si>
  <si>
    <t>Cousineau</t>
  </si>
  <si>
    <t>Reginald</t>
  </si>
  <si>
    <t>Young</t>
  </si>
  <si>
    <t>Linda</t>
  </si>
  <si>
    <t>Tom</t>
  </si>
  <si>
    <t>Brian</t>
  </si>
  <si>
    <t>Ruth</t>
  </si>
  <si>
    <t>Xai</t>
  </si>
  <si>
    <t>Mirsad</t>
  </si>
  <si>
    <t>Ernso</t>
  </si>
  <si>
    <t>Zachary</t>
  </si>
  <si>
    <t>Ronald</t>
  </si>
  <si>
    <t>Phi</t>
  </si>
  <si>
    <t>Steven</t>
  </si>
  <si>
    <t>Mitchal</t>
  </si>
  <si>
    <t>Koua</t>
  </si>
  <si>
    <t>Cody</t>
  </si>
  <si>
    <t>Matt</t>
  </si>
  <si>
    <t>Nick</t>
  </si>
  <si>
    <t>Timothy</t>
  </si>
  <si>
    <t>Lancer</t>
  </si>
  <si>
    <t>Benjamin</t>
  </si>
  <si>
    <t>Stephen</t>
  </si>
  <si>
    <t>Launch</t>
  </si>
  <si>
    <t>Bond Room 1</t>
  </si>
  <si>
    <t>Bond Room 2</t>
  </si>
  <si>
    <t>Shot Peen</t>
  </si>
  <si>
    <t>Rework/Touch Up</t>
  </si>
  <si>
    <t>UnionStatus</t>
  </si>
  <si>
    <t>WorkCenter</t>
  </si>
  <si>
    <t>Years of Service</t>
  </si>
  <si>
    <t>Not Trained</t>
  </si>
  <si>
    <t>Basic Knowledge</t>
  </si>
  <si>
    <t>Assistance Required</t>
  </si>
  <si>
    <t>Fully Competent</t>
  </si>
  <si>
    <t>Can Teach Others</t>
  </si>
  <si>
    <t>BLADE CELL 
TRAINING MATRIX</t>
  </si>
  <si>
    <t>Part Marking</t>
  </si>
  <si>
    <t>Foam Bond</t>
  </si>
  <si>
    <t>Cover Bond</t>
  </si>
  <si>
    <t>Pre-Cure</t>
  </si>
  <si>
    <t>Sheath Bond</t>
  </si>
  <si>
    <t>Demold</t>
  </si>
  <si>
    <t>Media Blast</t>
  </si>
  <si>
    <t>Gap Fill</t>
  </si>
  <si>
    <t>TAI Clean Off</t>
  </si>
  <si>
    <t>Shot PEEN</t>
  </si>
  <si>
    <t>Sol Gel</t>
  </si>
  <si>
    <t>Root Prime</t>
  </si>
  <si>
    <t>Ground Tab</t>
  </si>
  <si>
    <t>Wear Pad</t>
  </si>
  <si>
    <t>Seal Bond</t>
  </si>
  <si>
    <t>Touch up/MW Mark</t>
  </si>
  <si>
    <t>Chem Glaze Rework</t>
  </si>
  <si>
    <t>Holzhausen</t>
  </si>
  <si>
    <t>Holzhausen, Greg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</si>
</sst>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;@"/>
    <numFmt numFmtId="165" formatCode="mm/dd/yyyy"/>
    <numFmt numFmtId="166" formatCode="[$-F800]dddd\,\ mmmm\ dd\,\ yyyy"/>
    <numFmt numFmtId="167" formatCode="m/d/yyyy;@"/>
    <numFmt numFmtId="168" formatCode="0.0"/>
  </numFmts>
  <fonts count="22" x14ac:knownFonts="1">
    <font>
      <sz val="11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b/>
      <sz val="9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24"/>
      <color theme="1"/>
      <name val="Arial"/>
      <family val="2"/>
    </font>
    <font>
      <sz val="11"/>
      <name val="Arial"/>
      <family val="2"/>
    </font>
    <font>
      <sz val="6"/>
      <color indexed="8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sz val="32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rial"/>
      <family val="2"/>
    </font>
    <font>
      <sz val="1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54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9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F0"/>
        <bgColor indexed="9"/>
      </patternFill>
    </fill>
    <fill>
      <patternFill patternType="solid">
        <fgColor rgb="FFFF0000"/>
        <bgColor indexed="9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80">
    <xf numFmtId="0" fontId="0" fillId="0" borderId="0" xfId="0"/>
    <xf numFmtId="0" fontId="2" fillId="0" borderId="2" xfId="0" applyFont="1" applyBorder="1" applyAlignment="1">
      <alignment horizontal="left"/>
    </xf>
    <xf numFmtId="0" fontId="2" fillId="0" borderId="2" xfId="0" applyFont="1" applyBorder="1"/>
    <xf numFmtId="14" fontId="2" fillId="0" borderId="2" xfId="0" applyNumberFormat="1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65" fontId="3" fillId="2" borderId="2" xfId="0" applyNumberFormat="1" applyFont="1" applyFill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2" fillId="4" borderId="2" xfId="0" applyFont="1" applyFill="1" applyBorder="1"/>
    <xf numFmtId="0" fontId="0" fillId="4" borderId="2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5" xfId="0" applyFont="1" applyBorder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2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6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 applyAlignment="1">
      <alignment vertical="center"/>
    </xf>
    <xf numFmtId="0" fontId="0" fillId="7" borderId="2" xfId="0" applyFill="1" applyBorder="1" applyAlignment="1">
      <alignment horizontal="center"/>
    </xf>
    <xf numFmtId="0" fontId="0" fillId="0" borderId="4" xfId="0" applyFill="1" applyBorder="1" applyAlignment="1">
      <alignment vertical="center"/>
    </xf>
    <xf numFmtId="0" fontId="0" fillId="6" borderId="0" xfId="0" applyFill="1"/>
    <xf numFmtId="0" fontId="0" fillId="0" borderId="2" xfId="0" applyFill="1" applyBorder="1"/>
    <xf numFmtId="0" fontId="8" fillId="8" borderId="6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0" fillId="0" borderId="11" xfId="0" applyFill="1" applyBorder="1"/>
    <xf numFmtId="0" fontId="0" fillId="0" borderId="5" xfId="0" applyFill="1" applyBorder="1"/>
    <xf numFmtId="0" fontId="0" fillId="0" borderId="24" xfId="0" applyFill="1" applyBorder="1"/>
    <xf numFmtId="0" fontId="0" fillId="0" borderId="25" xfId="0" applyFill="1" applyBorder="1"/>
    <xf numFmtId="164" fontId="0" fillId="0" borderId="2" xfId="0" applyNumberForma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10" borderId="2" xfId="0" applyFill="1" applyBorder="1"/>
    <xf numFmtId="164" fontId="0" fillId="10" borderId="2" xfId="0" applyNumberFormat="1" applyFill="1" applyBorder="1"/>
    <xf numFmtId="0" fontId="0" fillId="10" borderId="11" xfId="0" applyFill="1" applyBorder="1"/>
    <xf numFmtId="0" fontId="0" fillId="10" borderId="6" xfId="0" applyFill="1" applyBorder="1"/>
    <xf numFmtId="0" fontId="0" fillId="10" borderId="7" xfId="0" applyFill="1" applyBorder="1"/>
    <xf numFmtId="0" fontId="0" fillId="4" borderId="2" xfId="0" applyFill="1" applyBorder="1"/>
    <xf numFmtId="0" fontId="0" fillId="11" borderId="2" xfId="0" applyFill="1" applyBorder="1"/>
    <xf numFmtId="0" fontId="0" fillId="11" borderId="6" xfId="0" applyFill="1" applyBorder="1"/>
    <xf numFmtId="0" fontId="0" fillId="12" borderId="2" xfId="0" applyFill="1" applyBorder="1"/>
    <xf numFmtId="0" fontId="0" fillId="12" borderId="6" xfId="0" applyFill="1" applyBorder="1"/>
    <xf numFmtId="0" fontId="0" fillId="13" borderId="2" xfId="0" applyFill="1" applyBorder="1"/>
    <xf numFmtId="0" fontId="0" fillId="13" borderId="6" xfId="0" applyFill="1" applyBorder="1"/>
    <xf numFmtId="0" fontId="0" fillId="12" borderId="7" xfId="0" applyFill="1" applyBorder="1"/>
    <xf numFmtId="0" fontId="0" fillId="10" borderId="0" xfId="0" applyFill="1" applyBorder="1"/>
    <xf numFmtId="0" fontId="0" fillId="0" borderId="0" xfId="0" applyAlignment="1">
      <alignment horizontal="right"/>
    </xf>
    <xf numFmtId="0" fontId="11" fillId="2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 wrapText="1"/>
    </xf>
    <xf numFmtId="0" fontId="4" fillId="3" borderId="4" xfId="0" applyFont="1" applyFill="1" applyBorder="1" applyAlignment="1">
      <alignment horizontal="right" wrapText="1"/>
    </xf>
    <xf numFmtId="0" fontId="4" fillId="3" borderId="4" xfId="0" applyFont="1" applyFill="1" applyBorder="1" applyAlignment="1">
      <alignment horizontal="right"/>
    </xf>
    <xf numFmtId="0" fontId="12" fillId="2" borderId="26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left"/>
    </xf>
    <xf numFmtId="165" fontId="3" fillId="2" borderId="26" xfId="0" applyNumberFormat="1" applyFont="1" applyFill="1" applyBorder="1" applyAlignment="1">
      <alignment horizontal="left"/>
    </xf>
    <xf numFmtId="0" fontId="3" fillId="2" borderId="27" xfId="0" applyFont="1" applyFill="1" applyBorder="1" applyAlignment="1">
      <alignment horizontal="left"/>
    </xf>
    <xf numFmtId="0" fontId="3" fillId="2" borderId="26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left"/>
    </xf>
    <xf numFmtId="0" fontId="12" fillId="2" borderId="3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0" fontId="13" fillId="2" borderId="2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27" xfId="0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0" fontId="13" fillId="0" borderId="2" xfId="0" applyFont="1" applyBorder="1"/>
    <xf numFmtId="0" fontId="12" fillId="5" borderId="2" xfId="0" applyFont="1" applyFill="1" applyBorder="1" applyAlignment="1">
      <alignment horizontal="center"/>
    </xf>
    <xf numFmtId="14" fontId="2" fillId="4" borderId="2" xfId="0" applyNumberFormat="1" applyFont="1" applyFill="1" applyBorder="1" applyAlignment="1">
      <alignment horizontal="left"/>
    </xf>
    <xf numFmtId="0" fontId="12" fillId="14" borderId="2" xfId="0" applyFont="1" applyFill="1" applyBorder="1" applyAlignment="1">
      <alignment horizontal="center"/>
    </xf>
    <xf numFmtId="0" fontId="2" fillId="10" borderId="2" xfId="0" applyFont="1" applyFill="1" applyBorder="1"/>
    <xf numFmtId="167" fontId="2" fillId="10" borderId="2" xfId="0" applyNumberFormat="1" applyFont="1" applyFill="1" applyBorder="1" applyAlignment="1">
      <alignment horizontal="left"/>
    </xf>
    <xf numFmtId="0" fontId="2" fillId="10" borderId="27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right"/>
    </xf>
    <xf numFmtId="167" fontId="2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10" borderId="0" xfId="0" applyFill="1" applyAlignment="1">
      <alignment horizontal="right"/>
    </xf>
    <xf numFmtId="0" fontId="0" fillId="10" borderId="0" xfId="0" applyFill="1" applyAlignment="1">
      <alignment horizontal="left"/>
    </xf>
    <xf numFmtId="0" fontId="12" fillId="15" borderId="2" xfId="0" applyFont="1" applyFill="1" applyBorder="1" applyAlignment="1">
      <alignment horizontal="center"/>
    </xf>
    <xf numFmtId="0" fontId="2" fillId="6" borderId="2" xfId="0" applyFont="1" applyFill="1" applyBorder="1"/>
    <xf numFmtId="167" fontId="2" fillId="6" borderId="2" xfId="0" applyNumberFormat="1" applyFont="1" applyFill="1" applyBorder="1" applyAlignment="1">
      <alignment horizontal="left"/>
    </xf>
    <xf numFmtId="0" fontId="2" fillId="6" borderId="0" xfId="0" applyFont="1" applyFill="1" applyBorder="1" applyAlignment="1">
      <alignment horizontal="right"/>
    </xf>
    <xf numFmtId="0" fontId="0" fillId="6" borderId="0" xfId="0" applyFill="1" applyAlignment="1">
      <alignment horizontal="right"/>
    </xf>
    <xf numFmtId="0" fontId="2" fillId="0" borderId="0" xfId="0" applyFont="1" applyBorder="1" applyAlignment="1">
      <alignment horizontal="right"/>
    </xf>
    <xf numFmtId="0" fontId="14" fillId="4" borderId="2" xfId="0" applyFont="1" applyFill="1" applyBorder="1"/>
    <xf numFmtId="167" fontId="14" fillId="0" borderId="2" xfId="0" applyNumberFormat="1" applyFont="1" applyFill="1" applyBorder="1" applyAlignment="1">
      <alignment horizontal="left"/>
    </xf>
    <xf numFmtId="0" fontId="14" fillId="0" borderId="2" xfId="0" applyFont="1" applyFill="1" applyBorder="1"/>
    <xf numFmtId="0" fontId="14" fillId="6" borderId="2" xfId="0" applyFont="1" applyFill="1" applyBorder="1"/>
    <xf numFmtId="167" fontId="14" fillId="6" borderId="2" xfId="0" applyNumberFormat="1" applyFont="1" applyFill="1" applyBorder="1" applyAlignment="1">
      <alignment horizontal="left"/>
    </xf>
    <xf numFmtId="0" fontId="15" fillId="0" borderId="2" xfId="0" applyFont="1" applyBorder="1" applyAlignment="1">
      <alignment vertical="center"/>
    </xf>
    <xf numFmtId="0" fontId="8" fillId="0" borderId="28" xfId="0" applyFont="1" applyBorder="1" applyAlignment="1">
      <alignment horizontal="center"/>
    </xf>
    <xf numFmtId="0" fontId="8" fillId="0" borderId="26" xfId="0" applyFont="1" applyBorder="1"/>
    <xf numFmtId="14" fontId="0" fillId="0" borderId="1" xfId="0" applyNumberFormat="1" applyBorder="1" applyAlignment="1">
      <alignment wrapText="1"/>
    </xf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horizontal="center" wrapText="1"/>
    </xf>
    <xf numFmtId="0" fontId="0" fillId="0" borderId="0" xfId="0" applyAlignment="1">
      <alignment horizontal="center"/>
    </xf>
    <xf numFmtId="0" fontId="16" fillId="0" borderId="30" xfId="0" applyFont="1" applyBorder="1" applyAlignment="1">
      <alignment wrapText="1"/>
    </xf>
    <xf numFmtId="0" fontId="16" fillId="0" borderId="30" xfId="0" applyFont="1" applyBorder="1" applyAlignment="1">
      <alignment horizontal="center" wrapText="1"/>
    </xf>
    <xf numFmtId="0" fontId="16" fillId="0" borderId="30" xfId="0" applyNumberFormat="1" applyFont="1" applyBorder="1" applyAlignment="1">
      <alignment horizontal="center" wrapText="1"/>
    </xf>
    <xf numFmtId="0" fontId="0" fillId="0" borderId="29" xfId="0" applyBorder="1" applyAlignment="1">
      <alignment wrapText="1"/>
    </xf>
    <xf numFmtId="0" fontId="16" fillId="0" borderId="32" xfId="0" applyFont="1" applyFill="1" applyBorder="1" applyAlignment="1">
      <alignment horizontal="center" wrapText="1"/>
    </xf>
    <xf numFmtId="0" fontId="0" fillId="0" borderId="0" xfId="0" applyNumberFormat="1" applyAlignment="1">
      <alignment horizontal="center" wrapText="1"/>
    </xf>
    <xf numFmtId="0" fontId="0" fillId="0" borderId="1" xfId="0" applyBorder="1" applyAlignment="1"/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0" borderId="23" xfId="0" applyNumberFormat="1" applyBorder="1" applyAlignment="1">
      <alignment horizontal="center" wrapText="1"/>
    </xf>
    <xf numFmtId="0" fontId="0" fillId="4" borderId="31" xfId="0" applyFill="1" applyBorder="1"/>
    <xf numFmtId="0" fontId="0" fillId="0" borderId="31" xfId="0" applyFill="1" applyBorder="1"/>
    <xf numFmtId="14" fontId="16" fillId="0" borderId="30" xfId="0" applyNumberFormat="1" applyFont="1" applyBorder="1" applyAlignment="1">
      <alignment wrapText="1"/>
    </xf>
    <xf numFmtId="14" fontId="0" fillId="0" borderId="0" xfId="0" applyNumberFormat="1"/>
    <xf numFmtId="168" fontId="16" fillId="0" borderId="30" xfId="0" applyNumberFormat="1" applyFont="1" applyBorder="1" applyAlignment="1">
      <alignment horizontal="center" wrapText="1"/>
    </xf>
    <xf numFmtId="168" fontId="0" fillId="0" borderId="1" xfId="0" applyNumberFormat="1" applyBorder="1" applyAlignment="1">
      <alignment wrapText="1"/>
    </xf>
    <xf numFmtId="168" fontId="0" fillId="0" borderId="0" xfId="0" applyNumberFormat="1"/>
    <xf numFmtId="0" fontId="0" fillId="16" borderId="0" xfId="0" applyFill="1"/>
    <xf numFmtId="0" fontId="0" fillId="9" borderId="0" xfId="0" applyFill="1"/>
    <xf numFmtId="0" fontId="0" fillId="17" borderId="0" xfId="0" applyFill="1"/>
    <xf numFmtId="0" fontId="16" fillId="0" borderId="0" xfId="0" applyFont="1" applyAlignment="1">
      <alignment horizontal="center"/>
    </xf>
    <xf numFmtId="0" fontId="16" fillId="0" borderId="34" xfId="0" applyFont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31" xfId="0" applyFill="1" applyBorder="1"/>
    <xf numFmtId="0" fontId="0" fillId="8" borderId="23" xfId="0" applyNumberFormat="1" applyFill="1" applyBorder="1" applyAlignment="1">
      <alignment horizontal="center" wrapText="1"/>
    </xf>
    <xf numFmtId="0" fontId="0" fillId="18" borderId="23" xfId="0" applyNumberFormat="1" applyFill="1" applyBorder="1" applyAlignment="1">
      <alignment horizontal="center" wrapText="1"/>
    </xf>
    <xf numFmtId="0" fontId="0" fillId="18" borderId="31" xfId="0" applyFill="1" applyBorder="1"/>
    <xf numFmtId="0" fontId="0" fillId="0" borderId="23" xfId="0" applyNumberFormat="1" applyFill="1" applyBorder="1" applyAlignment="1">
      <alignment horizontal="center" wrapText="1"/>
    </xf>
    <xf numFmtId="0" fontId="10" fillId="19" borderId="0" xfId="0" applyFont="1" applyFill="1"/>
    <xf numFmtId="14" fontId="10" fillId="19" borderId="0" xfId="0" applyNumberFormat="1" applyFont="1" applyFill="1"/>
    <xf numFmtId="168" fontId="10" fillId="19" borderId="0" xfId="0" applyNumberFormat="1" applyFont="1" applyFill="1"/>
    <xf numFmtId="0" fontId="10" fillId="19" borderId="0" xfId="0" applyFont="1" applyFill="1" applyAlignment="1">
      <alignment horizontal="center"/>
    </xf>
    <xf numFmtId="0" fontId="10" fillId="19" borderId="0" xfId="0" applyNumberFormat="1" applyFont="1" applyFill="1" applyAlignment="1">
      <alignment horizontal="center" wrapText="1"/>
    </xf>
    <xf numFmtId="0" fontId="0" fillId="19" borderId="36" xfId="0" applyFont="1" applyFill="1" applyBorder="1" applyAlignment="1">
      <alignment horizontal="center"/>
    </xf>
    <xf numFmtId="0" fontId="21" fillId="19" borderId="36" xfId="1" applyFont="1" applyFill="1" applyBorder="1" applyAlignment="1">
      <alignment horizontal="center" vertical="center"/>
    </xf>
    <xf numFmtId="0" fontId="0" fillId="19" borderId="36" xfId="0" applyFont="1" applyFill="1" applyBorder="1" applyAlignment="1">
      <alignment horizontal="center" vertical="center"/>
    </xf>
    <xf numFmtId="0" fontId="19" fillId="19" borderId="36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" fillId="10" borderId="33" xfId="0" applyFont="1" applyFill="1" applyBorder="1" applyAlignment="1">
      <alignment horizontal="center" wrapText="1"/>
    </xf>
    <xf numFmtId="0" fontId="18" fillId="10" borderId="33" xfId="0" applyFont="1" applyFill="1" applyBorder="1" applyAlignment="1">
      <alignment horizontal="center" wrapText="1"/>
    </xf>
    <xf numFmtId="0" fontId="1" fillId="10" borderId="35" xfId="0" applyFont="1" applyFill="1" applyBorder="1" applyAlignment="1">
      <alignment horizontal="center" wrapText="1"/>
    </xf>
    <xf numFmtId="0" fontId="0" fillId="0" borderId="0" xfId="0" applyAlignment="1"/>
    <xf numFmtId="0" fontId="0" fillId="0" borderId="0" xfId="0" applyFont="1" applyAlignment="1"/>
    <xf numFmtId="0" fontId="10" fillId="20" borderId="38" xfId="0" applyFont="1" applyFill="1" applyBorder="1" applyAlignment="1">
      <alignment horizontal="center"/>
    </xf>
    <xf numFmtId="0" fontId="0" fillId="20" borderId="38" xfId="0" applyFont="1" applyFill="1" applyBorder="1" applyAlignment="1">
      <alignment horizontal="center"/>
    </xf>
    <xf numFmtId="0" fontId="19" fillId="6" borderId="38" xfId="0" applyFont="1" applyFill="1" applyBorder="1" applyAlignment="1">
      <alignment horizontal="center"/>
    </xf>
    <xf numFmtId="0" fontId="19" fillId="6" borderId="39" xfId="0" applyFont="1" applyFill="1" applyBorder="1" applyAlignment="1">
      <alignment horizontal="center"/>
    </xf>
    <xf numFmtId="0" fontId="19" fillId="17" borderId="38" xfId="0" applyFont="1" applyFill="1" applyBorder="1" applyAlignment="1">
      <alignment horizontal="center"/>
    </xf>
    <xf numFmtId="0" fontId="19" fillId="9" borderId="38" xfId="0" applyFont="1" applyFill="1" applyBorder="1" applyAlignment="1">
      <alignment horizontal="center"/>
    </xf>
    <xf numFmtId="0" fontId="19" fillId="4" borderId="38" xfId="0" applyFont="1" applyFill="1" applyBorder="1" applyAlignment="1">
      <alignment horizontal="center"/>
    </xf>
    <xf numFmtId="0" fontId="19" fillId="16" borderId="38" xfId="0" applyFont="1" applyFill="1" applyBorder="1" applyAlignment="1">
      <alignment horizontal="center"/>
    </xf>
    <xf numFmtId="0" fontId="19" fillId="4" borderId="39" xfId="0" applyFont="1" applyFill="1" applyBorder="1" applyAlignment="1">
      <alignment horizontal="center"/>
    </xf>
    <xf numFmtId="0" fontId="19" fillId="16" borderId="39" xfId="0" applyFont="1" applyFill="1" applyBorder="1" applyAlignment="1">
      <alignment horizontal="center"/>
    </xf>
    <xf numFmtId="0" fontId="19" fillId="17" borderId="39" xfId="0" applyFont="1" applyFill="1" applyBorder="1" applyAlignment="1">
      <alignment horizontal="center"/>
    </xf>
    <xf numFmtId="0" fontId="20" fillId="20" borderId="38" xfId="1" applyFill="1" applyBorder="1" applyAlignment="1">
      <alignment horizontal="center"/>
    </xf>
    <xf numFmtId="0" fontId="17" fillId="0" borderId="0" xfId="0" applyFont="1" applyAlignment="1">
      <alignment horizontal="center" wrapText="1"/>
    </xf>
    <xf numFmtId="166" fontId="0" fillId="0" borderId="13" xfId="0" applyNumberFormat="1" applyFont="1" applyBorder="1" applyAlignment="1">
      <alignment horizontal="center"/>
    </xf>
    <xf numFmtId="166" fontId="0" fillId="0" borderId="14" xfId="0" applyNumberFormat="1" applyFont="1" applyBorder="1" applyAlignment="1">
      <alignment horizontal="center"/>
    </xf>
    <xf numFmtId="166" fontId="0" fillId="0" borderId="15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6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horizontal="center"/>
    </xf>
    <xf numFmtId="0" fontId="7" fillId="0" borderId="22" xfId="0" applyFont="1" applyBorder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1" xfId="0" applyBorder="1" applyAlignment="1">
      <alignment horizontal="left" wrapText="1"/>
    </xf>
    <xf numFmtId="0" fontId="0" fillId="0" borderId="1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20" borderId="0" xfId="0" applyFont="1" applyFill="1" applyAlignment="1"/>
  </cellXfs>
  <cellStyles count="2">
    <cellStyle name="Hyperlink" xfId="1" builtinId="8"/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8" formatCode="0.0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</border>
    </dxf>
  </dxfs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</xdr:row>
          <xdr:rowOff>19050</xdr:rowOff>
        </xdr:from>
        <xdr:to>
          <xdr:col>0</xdr:col>
          <xdr:colOff>1323975</xdr:colOff>
          <xdr:row>6</xdr:row>
          <xdr:rowOff>295275</xdr:rowOff>
        </xdr:to>
        <xdr:sp macro="" textlink="">
          <xdr:nvSpPr>
            <xdr:cNvPr id="19463" name="cmdUpdate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J102" totalsRowShown="0" tableBorderDxfId="46">
  <autoFilter ref="A1:J102"/>
  <sortState ref="A2:J102">
    <sortCondition ref="B1:B102"/>
  </sortState>
  <tableColumns count="10">
    <tableColumn id="1" name="Clock" dataDxfId="45"/>
    <tableColumn id="2" name="Name" dataDxfId="44"/>
    <tableColumn id="3" name="Last" dataDxfId="43"/>
    <tableColumn id="4" name="First" dataDxfId="42"/>
    <tableColumn id="5" name="Classification" dataDxfId="41"/>
    <tableColumn id="6" name="Anniversary" dataDxfId="40"/>
    <tableColumn id="7" name="Years of Service" dataDxfId="39">
      <calculatedColumnFormula>(TODAY()-F2)/365</calculatedColumnFormula>
    </tableColumn>
    <tableColumn id="8" name="Union (Y/N)" dataDxfId="38"/>
    <tableColumn id="9" name="Shift" dataDxfId="37"/>
    <tableColumn id="10" name="Work Center" dataDxfId="3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5" name="Table256" displayName="Table256" ref="A7:AB109" totalsRowShown="0" headerRowDxfId="35" dataDxfId="34" tableBorderDxfId="33">
  <autoFilter ref="A7:AB109"/>
  <sortState ref="A8:AB109">
    <sortCondition ref="A7:A109"/>
  </sortState>
  <tableColumns count="28">
    <tableColumn id="1" name="Name" dataDxfId="32"/>
    <tableColumn id="2" name="Shift" dataDxfId="31"/>
    <tableColumn id="3" name="Classification" dataDxfId="30"/>
    <tableColumn id="4" name="Work Center" dataDxfId="29"/>
    <tableColumn id="5" name="Launch" dataDxfId="28"/>
    <tableColumn id="6" name="Part Marking" dataDxfId="27"/>
    <tableColumn id="7" name="PAA" dataDxfId="26"/>
    <tableColumn id="8" name="Prime" dataDxfId="25"/>
    <tableColumn id="9" name="Foam Bond" dataDxfId="24"/>
    <tableColumn id="10" name="Cover Bond" dataDxfId="23"/>
    <tableColumn id="11" name="Pre-Cure" dataDxfId="22"/>
    <tableColumn id="12" name="Autoclave" dataDxfId="21"/>
    <tableColumn id="13" name="LE Demold" dataDxfId="20"/>
    <tableColumn id="14" name="Sheath Bond" dataDxfId="19"/>
    <tableColumn id="15" name="Demold" dataDxfId="18"/>
    <tableColumn id="16" name="Media Blast" dataDxfId="17"/>
    <tableColumn id="17" name="Gap Fill" dataDxfId="16"/>
    <tableColumn id="18" name="TAI Clean Off" dataDxfId="15"/>
    <tableColumn id="19" name="LPB" dataDxfId="14"/>
    <tableColumn id="20" name="Shot PEEN" dataDxfId="13"/>
    <tableColumn id="21" name="Sol Gel" dataDxfId="12"/>
    <tableColumn id="22" name="Root Prime" dataDxfId="11"/>
    <tableColumn id="23" name="Ground Tab" dataDxfId="10"/>
    <tableColumn id="24" name="Wear Pad" dataDxfId="9"/>
    <tableColumn id="25" name="LE Blend" dataDxfId="8"/>
    <tableColumn id="26" name="Seal Bond" dataDxfId="7"/>
    <tableColumn id="27" name="Touch up/MW Mark" dataDxfId="6"/>
    <tableColumn id="28" name="Chem Glaze Rework" dataDxfId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Training\Training%20Records\Faucher,%20Anthony" TargetMode="External"/><Relationship Id="rId18" Type="http://schemas.openxmlformats.org/officeDocument/2006/relationships/hyperlink" Target="Training\Training%20Records\Holzhausen,%20Greg" TargetMode="External"/><Relationship Id="rId26" Type="http://schemas.openxmlformats.org/officeDocument/2006/relationships/hyperlink" Target="Training\Training%20Records\Kessler,%20Rudolf" TargetMode="External"/><Relationship Id="rId39" Type="http://schemas.openxmlformats.org/officeDocument/2006/relationships/hyperlink" Target="Training\Training%20Records\Moore,%20Jason" TargetMode="External"/><Relationship Id="rId21" Type="http://schemas.openxmlformats.org/officeDocument/2006/relationships/hyperlink" Target="Training\Training%20Records\Janetzke,%20Regan" TargetMode="External"/><Relationship Id="rId34" Type="http://schemas.openxmlformats.org/officeDocument/2006/relationships/hyperlink" Target="Training\Training%20Records\Lo,%20Kevin" TargetMode="External"/><Relationship Id="rId42" Type="http://schemas.openxmlformats.org/officeDocument/2006/relationships/hyperlink" Target="Training\Training%20Records\Nguyen,%20Minh" TargetMode="External"/><Relationship Id="rId47" Type="http://schemas.openxmlformats.org/officeDocument/2006/relationships/hyperlink" Target="Training\Training%20Records\Reiner,%20Lancer" TargetMode="External"/><Relationship Id="rId50" Type="http://schemas.openxmlformats.org/officeDocument/2006/relationships/hyperlink" Target="Training\Training%20Records\Shaffer,%20Terry" TargetMode="External"/><Relationship Id="rId55" Type="http://schemas.openxmlformats.org/officeDocument/2006/relationships/hyperlink" Target="Training\Training%20Records\Swan,%20Michael" TargetMode="External"/><Relationship Id="rId63" Type="http://schemas.openxmlformats.org/officeDocument/2006/relationships/hyperlink" Target="Training\Training%20Records\Yang,%20Heu" TargetMode="External"/><Relationship Id="rId68" Type="http://schemas.openxmlformats.org/officeDocument/2006/relationships/control" Target="../activeX/activeX1.xml"/><Relationship Id="rId7" Type="http://schemas.openxmlformats.org/officeDocument/2006/relationships/hyperlink" Target="Training\Training%20Records\Churchill,%20David" TargetMode="External"/><Relationship Id="rId71" Type="http://schemas.openxmlformats.org/officeDocument/2006/relationships/comments" Target="../comments1.xml"/><Relationship Id="rId2" Type="http://schemas.openxmlformats.org/officeDocument/2006/relationships/hyperlink" Target="Training\Training%20Records\Austin,%20Larry" TargetMode="External"/><Relationship Id="rId16" Type="http://schemas.openxmlformats.org/officeDocument/2006/relationships/hyperlink" Target="Training\Training%20Records\Gonzalez,%20Julio" TargetMode="External"/><Relationship Id="rId29" Type="http://schemas.openxmlformats.org/officeDocument/2006/relationships/hyperlink" Target="Training\Training%20Records\Kring,%20Justin" TargetMode="External"/><Relationship Id="rId1" Type="http://schemas.openxmlformats.org/officeDocument/2006/relationships/hyperlink" Target="Training\Training%20Records\Armstrong,%20James" TargetMode="External"/><Relationship Id="rId6" Type="http://schemas.openxmlformats.org/officeDocument/2006/relationships/hyperlink" Target="Training\Training%20Records\Chambers,%20Patrick" TargetMode="External"/><Relationship Id="rId11" Type="http://schemas.openxmlformats.org/officeDocument/2006/relationships/hyperlink" Target="Training\Training%20Records\Dewey,%20Kevin" TargetMode="External"/><Relationship Id="rId24" Type="http://schemas.openxmlformats.org/officeDocument/2006/relationships/hyperlink" Target="Training\Training%20Records\Kaminski,%20Ryan" TargetMode="External"/><Relationship Id="rId32" Type="http://schemas.openxmlformats.org/officeDocument/2006/relationships/hyperlink" Target="Training\Training%20Records\Le,%20Danny" TargetMode="External"/><Relationship Id="rId37" Type="http://schemas.openxmlformats.org/officeDocument/2006/relationships/hyperlink" Target="Training\Training%20Records\McCoy,%20Mitchal" TargetMode="External"/><Relationship Id="rId40" Type="http://schemas.openxmlformats.org/officeDocument/2006/relationships/hyperlink" Target="Training\Training%20Records\Nguyen,%20Allen" TargetMode="External"/><Relationship Id="rId45" Type="http://schemas.openxmlformats.org/officeDocument/2006/relationships/hyperlink" Target="Training\Training%20Records\Pham,%20Phat" TargetMode="External"/><Relationship Id="rId53" Type="http://schemas.openxmlformats.org/officeDocument/2006/relationships/hyperlink" Target="Training\Training%20Records\Stevenson,%20Scott" TargetMode="External"/><Relationship Id="rId58" Type="http://schemas.openxmlformats.org/officeDocument/2006/relationships/hyperlink" Target="Training\Training%20Records\Vang,%20Koua" TargetMode="External"/><Relationship Id="rId66" Type="http://schemas.openxmlformats.org/officeDocument/2006/relationships/drawing" Target="../drawings/drawing1.xml"/><Relationship Id="rId5" Type="http://schemas.openxmlformats.org/officeDocument/2006/relationships/hyperlink" Target="Training\Training%20Records\Bathelemy,%20Ernso" TargetMode="External"/><Relationship Id="rId15" Type="http://schemas.openxmlformats.org/officeDocument/2006/relationships/hyperlink" Target="Training\Training%20Records\Fries,%20Robert" TargetMode="External"/><Relationship Id="rId23" Type="http://schemas.openxmlformats.org/officeDocument/2006/relationships/hyperlink" Target="Training\Training%20Records\Jones,%20Seong" TargetMode="External"/><Relationship Id="rId28" Type="http://schemas.openxmlformats.org/officeDocument/2006/relationships/hyperlink" Target="Training\Training%20Records\Kollman,%20Erik" TargetMode="External"/><Relationship Id="rId36" Type="http://schemas.openxmlformats.org/officeDocument/2006/relationships/hyperlink" Target="Training\Training%20Records\Mattocks,%20Brigette" TargetMode="External"/><Relationship Id="rId49" Type="http://schemas.openxmlformats.org/officeDocument/2006/relationships/hyperlink" Target="Training\Training%20Records\Schwab,%20Mindy" TargetMode="External"/><Relationship Id="rId57" Type="http://schemas.openxmlformats.org/officeDocument/2006/relationships/hyperlink" Target="Training\Training%20Records\Vachon,%20Daniel" TargetMode="External"/><Relationship Id="rId61" Type="http://schemas.openxmlformats.org/officeDocument/2006/relationships/hyperlink" Target="Training\Training%20Records\Vue,%20Yupeng" TargetMode="External"/><Relationship Id="rId10" Type="http://schemas.openxmlformats.org/officeDocument/2006/relationships/hyperlink" Target="Training\Training%20Records\Dean,%20Micah" TargetMode="External"/><Relationship Id="rId19" Type="http://schemas.openxmlformats.org/officeDocument/2006/relationships/hyperlink" Target="Training\Training%20Records\Hua,%20Phi" TargetMode="External"/><Relationship Id="rId31" Type="http://schemas.openxmlformats.org/officeDocument/2006/relationships/hyperlink" Target="Training\Training%20Records\Lardie,%20Linda" TargetMode="External"/><Relationship Id="rId44" Type="http://schemas.openxmlformats.org/officeDocument/2006/relationships/hyperlink" Target="Training\Training%20Records\Oviatt,%20Nick" TargetMode="External"/><Relationship Id="rId52" Type="http://schemas.openxmlformats.org/officeDocument/2006/relationships/hyperlink" Target="Training\Training%20Records\Smith,%20Blain" TargetMode="External"/><Relationship Id="rId60" Type="http://schemas.openxmlformats.org/officeDocument/2006/relationships/hyperlink" Target="Training\Training%20Records\Vue,%20Ted" TargetMode="External"/><Relationship Id="rId65" Type="http://schemas.openxmlformats.org/officeDocument/2006/relationships/printerSettings" Target="../printerSettings/printerSettings2.bin"/><Relationship Id="rId4" Type="http://schemas.openxmlformats.org/officeDocument/2006/relationships/hyperlink" Target="Training\Training%20Records\Balderas,%20Danny" TargetMode="External"/><Relationship Id="rId9" Type="http://schemas.openxmlformats.org/officeDocument/2006/relationships/hyperlink" Target="Training\Training%20Records\Daman,%20Shawn" TargetMode="External"/><Relationship Id="rId14" Type="http://schemas.openxmlformats.org/officeDocument/2006/relationships/hyperlink" Target="Training\Training%20Records\Fedewa,%20Kyle" TargetMode="External"/><Relationship Id="rId22" Type="http://schemas.openxmlformats.org/officeDocument/2006/relationships/hyperlink" Target="Training\Training%20Records\Jewell,%20Nicholas" TargetMode="External"/><Relationship Id="rId27" Type="http://schemas.openxmlformats.org/officeDocument/2006/relationships/hyperlink" Target="Training\Training%20Records\Kessler,%20Wilhelm" TargetMode="External"/><Relationship Id="rId30" Type="http://schemas.openxmlformats.org/officeDocument/2006/relationships/hyperlink" Target="Training\Training%20Records\Kring,%20Tom" TargetMode="External"/><Relationship Id="rId35" Type="http://schemas.openxmlformats.org/officeDocument/2006/relationships/hyperlink" Target="Training\Training%20Records\Mason,%20Danyale" TargetMode="External"/><Relationship Id="rId43" Type="http://schemas.openxmlformats.org/officeDocument/2006/relationships/hyperlink" Target="Training\Training%20Records\Ohrt,%20Sean" TargetMode="External"/><Relationship Id="rId48" Type="http://schemas.openxmlformats.org/officeDocument/2006/relationships/hyperlink" Target="Training\Training%20Records\Schlicker,%20Colin" TargetMode="External"/><Relationship Id="rId56" Type="http://schemas.openxmlformats.org/officeDocument/2006/relationships/hyperlink" Target="Training\Training%20Records\Taylor,%20Andrew" TargetMode="External"/><Relationship Id="rId64" Type="http://schemas.openxmlformats.org/officeDocument/2006/relationships/hyperlink" Target="Training\Training%20Records\Yang,%20Phong" TargetMode="External"/><Relationship Id="rId69" Type="http://schemas.openxmlformats.org/officeDocument/2006/relationships/image" Target="../media/image1.emf"/><Relationship Id="rId8" Type="http://schemas.openxmlformats.org/officeDocument/2006/relationships/hyperlink" Target="Training\Training%20Records\Clanton,%20Devanta" TargetMode="External"/><Relationship Id="rId51" Type="http://schemas.openxmlformats.org/officeDocument/2006/relationships/hyperlink" Target="Training\Training%20Records\Smalley,%20Joshua" TargetMode="External"/><Relationship Id="rId3" Type="http://schemas.openxmlformats.org/officeDocument/2006/relationships/hyperlink" Target="Training\Training%20Records\Backe,%20Jeffrey" TargetMode="External"/><Relationship Id="rId12" Type="http://schemas.openxmlformats.org/officeDocument/2006/relationships/hyperlink" Target="Training\Training%20Records\Fandel,%20Timothy" TargetMode="External"/><Relationship Id="rId17" Type="http://schemas.openxmlformats.org/officeDocument/2006/relationships/hyperlink" Target="Training\Training%20Records\Hartman,%20Benjamin" TargetMode="External"/><Relationship Id="rId25" Type="http://schemas.openxmlformats.org/officeDocument/2006/relationships/hyperlink" Target="Training\Training%20Records\Kessler,%20Naomi" TargetMode="External"/><Relationship Id="rId33" Type="http://schemas.openxmlformats.org/officeDocument/2006/relationships/hyperlink" Target="Training\Training%20Records\Lee,%20Xai" TargetMode="External"/><Relationship Id="rId38" Type="http://schemas.openxmlformats.org/officeDocument/2006/relationships/hyperlink" Target="Training\Training%20Records\Miller,%20Ruth" TargetMode="External"/><Relationship Id="rId46" Type="http://schemas.openxmlformats.org/officeDocument/2006/relationships/hyperlink" Target="Training\Training%20Records\Pierce,%20Garrett" TargetMode="External"/><Relationship Id="rId59" Type="http://schemas.openxmlformats.org/officeDocument/2006/relationships/hyperlink" Target="Training\Training%20Records\Vue,%20Paul" TargetMode="External"/><Relationship Id="rId67" Type="http://schemas.openxmlformats.org/officeDocument/2006/relationships/vmlDrawing" Target="../drawings/vmlDrawing1.vml"/><Relationship Id="rId20" Type="http://schemas.openxmlformats.org/officeDocument/2006/relationships/hyperlink" Target="Training\Training%20Records\Huntley,%20Michael" TargetMode="External"/><Relationship Id="rId41" Type="http://schemas.openxmlformats.org/officeDocument/2006/relationships/hyperlink" Target="Training\Training%20Records\Nguyen,%20Brian" TargetMode="External"/><Relationship Id="rId54" Type="http://schemas.openxmlformats.org/officeDocument/2006/relationships/hyperlink" Target="Training\Training%20Records\Summers,%20Justin" TargetMode="External"/><Relationship Id="rId62" Type="http://schemas.openxmlformats.org/officeDocument/2006/relationships/hyperlink" Target="Training\Training%20Records\Wiegman,%20John" TargetMode="External"/><Relationship Id="rId70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03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3" sqref="D23"/>
    </sheetView>
  </sheetViews>
  <sheetFormatPr defaultRowHeight="14.25" x14ac:dyDescent="0.2"/>
  <cols>
    <col min="1" max="1" width="7.75" customWidth="1"/>
    <col min="2" max="2" width="24.75" bestFit="1" customWidth="1"/>
    <col min="3" max="3" width="13" customWidth="1"/>
    <col min="4" max="4" width="11.625" customWidth="1"/>
    <col min="5" max="5" width="20.125" bestFit="1" customWidth="1"/>
    <col min="6" max="6" width="13.25" style="119" customWidth="1"/>
    <col min="7" max="7" width="17.5" style="122" customWidth="1"/>
    <col min="8" max="8" width="12.875" style="105" customWidth="1"/>
    <col min="9" max="9" width="10.375" style="111" bestFit="1" customWidth="1"/>
    <col min="10" max="10" width="15.5" customWidth="1"/>
    <col min="16" max="16" width="10.625" customWidth="1"/>
    <col min="18" max="18" width="15.625" customWidth="1"/>
    <col min="28" max="28" width="11.125" customWidth="1"/>
    <col min="30" max="30" width="15.5" customWidth="1"/>
  </cols>
  <sheetData>
    <row r="1" spans="1:30" ht="15" x14ac:dyDescent="0.25">
      <c r="A1" s="127" t="s">
        <v>806</v>
      </c>
      <c r="B1" s="106" t="s">
        <v>257</v>
      </c>
      <c r="C1" s="106" t="s">
        <v>37</v>
      </c>
      <c r="D1" s="106" t="s">
        <v>38</v>
      </c>
      <c r="E1" s="106" t="s">
        <v>515</v>
      </c>
      <c r="F1" s="118" t="s">
        <v>805</v>
      </c>
      <c r="G1" s="120" t="s">
        <v>856</v>
      </c>
      <c r="H1" s="107" t="s">
        <v>807</v>
      </c>
      <c r="I1" s="108" t="s">
        <v>53</v>
      </c>
      <c r="J1" s="110" t="s">
        <v>514</v>
      </c>
      <c r="AB1" s="105" t="s">
        <v>854</v>
      </c>
      <c r="AC1" s="105" t="s">
        <v>53</v>
      </c>
      <c r="AD1" s="105" t="s">
        <v>855</v>
      </c>
    </row>
    <row r="2" spans="1:30" x14ac:dyDescent="0.2">
      <c r="A2" s="109">
        <v>610972</v>
      </c>
      <c r="B2" s="103" t="s">
        <v>536</v>
      </c>
      <c r="C2" s="103" t="s">
        <v>527</v>
      </c>
      <c r="D2" s="103" t="s">
        <v>437</v>
      </c>
      <c r="E2" s="103" t="s">
        <v>318</v>
      </c>
      <c r="F2" s="102">
        <v>42450</v>
      </c>
      <c r="G2" s="121">
        <f ca="1">(TODAY()-F2)/365</f>
        <v>0.25205479452054796</v>
      </c>
      <c r="H2" s="104" t="s">
        <v>808</v>
      </c>
      <c r="I2" s="130">
        <v>3</v>
      </c>
      <c r="J2" s="117" t="s">
        <v>292</v>
      </c>
      <c r="AB2" s="105" t="s">
        <v>808</v>
      </c>
      <c r="AC2" s="105">
        <v>1</v>
      </c>
      <c r="AD2" t="s">
        <v>849</v>
      </c>
    </row>
    <row r="3" spans="1:30" x14ac:dyDescent="0.2">
      <c r="A3" s="109">
        <v>610288</v>
      </c>
      <c r="B3" s="103" t="s">
        <v>404</v>
      </c>
      <c r="C3" s="103" t="s">
        <v>378</v>
      </c>
      <c r="D3" s="103" t="s">
        <v>259</v>
      </c>
      <c r="E3" s="103" t="s">
        <v>318</v>
      </c>
      <c r="F3" s="102">
        <v>32685</v>
      </c>
      <c r="G3" s="121">
        <f ca="1">(TODAY()-F3)/365</f>
        <v>27.005479452054793</v>
      </c>
      <c r="H3" s="104" t="s">
        <v>808</v>
      </c>
      <c r="I3" s="115" t="s">
        <v>281</v>
      </c>
      <c r="J3" s="117" t="s">
        <v>292</v>
      </c>
      <c r="AC3" s="105">
        <v>3</v>
      </c>
      <c r="AD3" t="s">
        <v>311</v>
      </c>
    </row>
    <row r="4" spans="1:30" x14ac:dyDescent="0.2">
      <c r="A4" s="109">
        <v>610550</v>
      </c>
      <c r="B4" s="103" t="s">
        <v>405</v>
      </c>
      <c r="C4" s="103" t="s">
        <v>394</v>
      </c>
      <c r="D4" s="103" t="s">
        <v>60</v>
      </c>
      <c r="E4" s="103" t="s">
        <v>516</v>
      </c>
      <c r="F4" s="102">
        <v>38678</v>
      </c>
      <c r="G4" s="121">
        <f ca="1">(TODAY()-F4)/365</f>
        <v>10.586301369863014</v>
      </c>
      <c r="H4" s="104" t="s">
        <v>808</v>
      </c>
      <c r="I4" s="115" t="s">
        <v>281</v>
      </c>
      <c r="J4" s="117" t="s">
        <v>311</v>
      </c>
      <c r="AC4" s="105" t="s">
        <v>281</v>
      </c>
      <c r="AD4" t="s">
        <v>850</v>
      </c>
    </row>
    <row r="5" spans="1:30" x14ac:dyDescent="0.2">
      <c r="A5" s="109">
        <v>610291</v>
      </c>
      <c r="B5" s="103" t="s">
        <v>463</v>
      </c>
      <c r="C5" s="103" t="s">
        <v>377</v>
      </c>
      <c r="D5" s="103" t="s">
        <v>42</v>
      </c>
      <c r="E5" s="103" t="s">
        <v>516</v>
      </c>
      <c r="F5" s="102">
        <v>36018</v>
      </c>
      <c r="G5" s="121">
        <f ca="1">(TODAY()-F5)/365</f>
        <v>17.873972602739727</v>
      </c>
      <c r="H5" s="104" t="s">
        <v>808</v>
      </c>
      <c r="I5" s="115">
        <v>1</v>
      </c>
      <c r="J5" s="117" t="s">
        <v>48</v>
      </c>
      <c r="AD5" t="s">
        <v>304</v>
      </c>
    </row>
    <row r="6" spans="1:30" x14ac:dyDescent="0.2">
      <c r="A6" s="109">
        <v>610296</v>
      </c>
      <c r="B6" s="103" t="s">
        <v>406</v>
      </c>
      <c r="C6" s="103" t="s">
        <v>816</v>
      </c>
      <c r="D6" s="103" t="s">
        <v>835</v>
      </c>
      <c r="E6" s="103" t="s">
        <v>516</v>
      </c>
      <c r="F6" s="102">
        <v>37301</v>
      </c>
      <c r="G6" s="121">
        <f ca="1">(TODAY()-F6)/365</f>
        <v>14.358904109589041</v>
      </c>
      <c r="H6" s="104" t="s">
        <v>808</v>
      </c>
      <c r="I6" s="115">
        <v>1</v>
      </c>
      <c r="J6" s="117" t="s">
        <v>52</v>
      </c>
      <c r="AD6" t="s">
        <v>851</v>
      </c>
    </row>
    <row r="7" spans="1:30" x14ac:dyDescent="0.2">
      <c r="A7" s="109">
        <v>610802</v>
      </c>
      <c r="B7" s="103" t="s">
        <v>398</v>
      </c>
      <c r="C7" s="103" t="s">
        <v>817</v>
      </c>
      <c r="D7" s="103" t="s">
        <v>633</v>
      </c>
      <c r="E7" s="103" t="s">
        <v>318</v>
      </c>
      <c r="F7" s="102">
        <v>42114</v>
      </c>
      <c r="G7" s="121">
        <f ca="1">(TODAY()-F7)/365</f>
        <v>1.1726027397260275</v>
      </c>
      <c r="H7" s="104" t="s">
        <v>808</v>
      </c>
      <c r="I7" s="115">
        <v>1</v>
      </c>
      <c r="J7" s="117" t="s">
        <v>292</v>
      </c>
      <c r="AD7" t="s">
        <v>51</v>
      </c>
    </row>
    <row r="8" spans="1:30" x14ac:dyDescent="0.2">
      <c r="A8" s="109">
        <v>610633</v>
      </c>
      <c r="B8" s="103" t="s">
        <v>376</v>
      </c>
      <c r="C8" s="103" t="s">
        <v>375</v>
      </c>
      <c r="D8" s="103" t="s">
        <v>260</v>
      </c>
      <c r="E8" s="103" t="s">
        <v>318</v>
      </c>
      <c r="F8" s="102">
        <v>39030</v>
      </c>
      <c r="G8" s="121">
        <f ca="1">(TODAY()-F8)/365</f>
        <v>9.6219178082191785</v>
      </c>
      <c r="H8" s="104" t="s">
        <v>808</v>
      </c>
      <c r="I8" s="115">
        <v>1</v>
      </c>
      <c r="J8" s="117" t="s">
        <v>292</v>
      </c>
      <c r="AD8" t="s">
        <v>292</v>
      </c>
    </row>
    <row r="9" spans="1:30" x14ac:dyDescent="0.2">
      <c r="A9" s="109">
        <v>610850</v>
      </c>
      <c r="B9" s="103" t="s">
        <v>804</v>
      </c>
      <c r="C9" s="103" t="s">
        <v>312</v>
      </c>
      <c r="D9" s="103" t="s">
        <v>843</v>
      </c>
      <c r="E9" s="103" t="s">
        <v>318</v>
      </c>
      <c r="F9" s="102">
        <v>42305</v>
      </c>
      <c r="G9" s="121">
        <f ca="1">(TODAY()-F9)/365</f>
        <v>0.64931506849315068</v>
      </c>
      <c r="H9" s="104" t="s">
        <v>808</v>
      </c>
      <c r="I9" s="115">
        <v>3</v>
      </c>
      <c r="J9" s="117" t="s">
        <v>292</v>
      </c>
      <c r="AD9" t="s">
        <v>454</v>
      </c>
    </row>
    <row r="10" spans="1:30" x14ac:dyDescent="0.2">
      <c r="A10" s="109">
        <v>610877</v>
      </c>
      <c r="B10" s="103" t="s">
        <v>803</v>
      </c>
      <c r="C10" s="103" t="s">
        <v>57</v>
      </c>
      <c r="D10" s="103" t="s">
        <v>630</v>
      </c>
      <c r="E10" s="103" t="s">
        <v>318</v>
      </c>
      <c r="F10" s="102">
        <v>42303</v>
      </c>
      <c r="G10" s="121">
        <f ca="1">(TODAY()-F10)/365</f>
        <v>0.65479452054794518</v>
      </c>
      <c r="H10" s="104" t="s">
        <v>808</v>
      </c>
      <c r="I10" s="115">
        <v>2</v>
      </c>
      <c r="J10" s="117" t="s">
        <v>292</v>
      </c>
      <c r="AD10" t="s">
        <v>852</v>
      </c>
    </row>
    <row r="11" spans="1:30" x14ac:dyDescent="0.2">
      <c r="A11" s="109">
        <v>610847</v>
      </c>
      <c r="B11" s="103" t="s">
        <v>363</v>
      </c>
      <c r="C11" s="103" t="s">
        <v>306</v>
      </c>
      <c r="D11" s="103" t="s">
        <v>305</v>
      </c>
      <c r="E11" s="103" t="s">
        <v>516</v>
      </c>
      <c r="F11" s="102">
        <v>42303</v>
      </c>
      <c r="G11" s="121">
        <f ca="1">(TODAY()-F11)/365</f>
        <v>0.65479452054794518</v>
      </c>
      <c r="H11" s="104" t="s">
        <v>808</v>
      </c>
      <c r="I11" s="115">
        <v>2</v>
      </c>
      <c r="J11" s="117" t="s">
        <v>52</v>
      </c>
      <c r="AD11" t="s">
        <v>52</v>
      </c>
    </row>
    <row r="12" spans="1:30" x14ac:dyDescent="0.2">
      <c r="A12" s="109">
        <v>610905</v>
      </c>
      <c r="B12" s="103" t="s">
        <v>492</v>
      </c>
      <c r="C12" s="103" t="s">
        <v>393</v>
      </c>
      <c r="D12" s="103" t="s">
        <v>272</v>
      </c>
      <c r="E12" s="103" t="s">
        <v>516</v>
      </c>
      <c r="F12" s="102">
        <v>42331</v>
      </c>
      <c r="G12" s="121">
        <f ca="1">(TODAY()-F12)/365</f>
        <v>0.57808219178082187</v>
      </c>
      <c r="H12" s="104" t="s">
        <v>808</v>
      </c>
      <c r="I12" s="115">
        <v>2</v>
      </c>
      <c r="J12" s="117" t="s">
        <v>48</v>
      </c>
      <c r="AD12" t="s">
        <v>380</v>
      </c>
    </row>
    <row r="13" spans="1:30" x14ac:dyDescent="0.2">
      <c r="A13" s="109">
        <v>610920</v>
      </c>
      <c r="B13" s="103" t="s">
        <v>497</v>
      </c>
      <c r="C13" s="103" t="s">
        <v>442</v>
      </c>
      <c r="D13" s="103" t="s">
        <v>441</v>
      </c>
      <c r="E13" s="103" t="s">
        <v>516</v>
      </c>
      <c r="F13" s="102">
        <v>42338</v>
      </c>
      <c r="G13" s="121">
        <f ca="1">(TODAY()-F13)/365</f>
        <v>0.55890410958904113</v>
      </c>
      <c r="H13" s="104" t="s">
        <v>808</v>
      </c>
      <c r="I13" s="115">
        <v>3</v>
      </c>
      <c r="J13" s="117" t="s">
        <v>52</v>
      </c>
      <c r="AD13" t="s">
        <v>853</v>
      </c>
    </row>
    <row r="14" spans="1:30" x14ac:dyDescent="0.2">
      <c r="A14" s="109">
        <v>610818</v>
      </c>
      <c r="B14" s="103" t="s">
        <v>79</v>
      </c>
      <c r="C14" s="103" t="s">
        <v>65</v>
      </c>
      <c r="D14" s="103" t="s">
        <v>261</v>
      </c>
      <c r="E14" s="103" t="s">
        <v>778</v>
      </c>
      <c r="F14" s="102">
        <v>42272</v>
      </c>
      <c r="G14" s="121">
        <f ca="1">(TODAY()-F14)/365</f>
        <v>0.73972602739726023</v>
      </c>
      <c r="H14" s="104" t="s">
        <v>808</v>
      </c>
      <c r="I14" s="115" t="s">
        <v>281</v>
      </c>
      <c r="J14" s="117" t="s">
        <v>513</v>
      </c>
      <c r="AD14" t="s">
        <v>513</v>
      </c>
    </row>
    <row r="15" spans="1:30" x14ac:dyDescent="0.2">
      <c r="A15" s="109">
        <v>610969</v>
      </c>
      <c r="B15" s="103" t="s">
        <v>530</v>
      </c>
      <c r="C15" s="103" t="s">
        <v>520</v>
      </c>
      <c r="D15" s="103" t="s">
        <v>519</v>
      </c>
      <c r="E15" s="103" t="s">
        <v>318</v>
      </c>
      <c r="F15" s="102">
        <v>42415</v>
      </c>
      <c r="G15" s="121">
        <f ca="1">(TODAY()-F15)/365</f>
        <v>0.34794520547945207</v>
      </c>
      <c r="H15" s="104" t="s">
        <v>808</v>
      </c>
      <c r="I15" s="115">
        <v>2</v>
      </c>
      <c r="J15" s="117" t="s">
        <v>292</v>
      </c>
      <c r="AD15" t="s">
        <v>444</v>
      </c>
    </row>
    <row r="16" spans="1:30" x14ac:dyDescent="0.2">
      <c r="A16" s="109">
        <v>610996</v>
      </c>
      <c r="B16" s="103" t="s">
        <v>802</v>
      </c>
      <c r="C16" s="103" t="s">
        <v>826</v>
      </c>
      <c r="D16" s="103" t="s">
        <v>848</v>
      </c>
      <c r="E16" s="103" t="s">
        <v>516</v>
      </c>
      <c r="F16" s="102">
        <v>42527</v>
      </c>
      <c r="G16" s="121">
        <f ca="1">(TODAY()-F16)/365</f>
        <v>4.1095890410958902E-2</v>
      </c>
      <c r="H16" s="104" t="s">
        <v>809</v>
      </c>
      <c r="I16" s="115">
        <v>1</v>
      </c>
      <c r="J16" s="116"/>
    </row>
    <row r="17" spans="1:10" x14ac:dyDescent="0.2">
      <c r="A17" s="109">
        <v>610956</v>
      </c>
      <c r="B17" s="103" t="s">
        <v>801</v>
      </c>
      <c r="C17" s="103" t="s">
        <v>824</v>
      </c>
      <c r="D17" s="103" t="s">
        <v>448</v>
      </c>
      <c r="E17" s="103" t="s">
        <v>516</v>
      </c>
      <c r="F17" s="102">
        <v>42354</v>
      </c>
      <c r="G17" s="121">
        <f ca="1">(TODAY()-F17)/365</f>
        <v>0.51506849315068493</v>
      </c>
      <c r="H17" s="104" t="s">
        <v>808</v>
      </c>
      <c r="I17" s="115">
        <v>3</v>
      </c>
      <c r="J17" s="117" t="s">
        <v>850</v>
      </c>
    </row>
    <row r="18" spans="1:10" x14ac:dyDescent="0.2">
      <c r="A18" s="109">
        <v>610919</v>
      </c>
      <c r="B18" s="103" t="s">
        <v>529</v>
      </c>
      <c r="C18" s="103" t="s">
        <v>389</v>
      </c>
      <c r="D18" s="103" t="s">
        <v>390</v>
      </c>
      <c r="E18" s="103" t="s">
        <v>516</v>
      </c>
      <c r="F18" s="102">
        <v>42331</v>
      </c>
      <c r="G18" s="121">
        <f ca="1">(TODAY()-F18)/365</f>
        <v>0.57808219178082187</v>
      </c>
      <c r="H18" s="104" t="s">
        <v>808</v>
      </c>
      <c r="I18" s="115">
        <v>3</v>
      </c>
      <c r="J18" s="117" t="s">
        <v>52</v>
      </c>
    </row>
    <row r="19" spans="1:10" x14ac:dyDescent="0.2">
      <c r="A19" s="109">
        <v>610828</v>
      </c>
      <c r="B19" s="103" t="s">
        <v>333</v>
      </c>
      <c r="C19" s="103" t="s">
        <v>46</v>
      </c>
      <c r="D19" s="103" t="s">
        <v>45</v>
      </c>
      <c r="E19" s="103" t="s">
        <v>516</v>
      </c>
      <c r="F19" s="102">
        <v>42233</v>
      </c>
      <c r="G19" s="121">
        <f ca="1">(TODAY()-F19)/365</f>
        <v>0.84657534246575339</v>
      </c>
      <c r="H19" s="104" t="s">
        <v>808</v>
      </c>
      <c r="I19" s="115">
        <v>1</v>
      </c>
      <c r="J19" s="129" t="s">
        <v>52</v>
      </c>
    </row>
    <row r="20" spans="1:10" x14ac:dyDescent="0.2">
      <c r="A20" s="109">
        <v>610824</v>
      </c>
      <c r="B20" s="103" t="s">
        <v>482</v>
      </c>
      <c r="C20" s="103" t="s">
        <v>64</v>
      </c>
      <c r="D20" s="103" t="s">
        <v>40</v>
      </c>
      <c r="E20" s="103" t="s">
        <v>318</v>
      </c>
      <c r="F20" s="102">
        <v>42219</v>
      </c>
      <c r="G20" s="121">
        <f ca="1">(TODAY()-F20)/365</f>
        <v>0.8849315068493151</v>
      </c>
      <c r="H20" s="104" t="s">
        <v>808</v>
      </c>
      <c r="I20" s="115">
        <v>1</v>
      </c>
      <c r="J20" s="117" t="s">
        <v>292</v>
      </c>
    </row>
    <row r="21" spans="1:10" x14ac:dyDescent="0.2">
      <c r="A21" s="109">
        <v>610546</v>
      </c>
      <c r="B21" s="103" t="s">
        <v>407</v>
      </c>
      <c r="C21" s="103" t="s">
        <v>395</v>
      </c>
      <c r="D21" s="103" t="s">
        <v>262</v>
      </c>
      <c r="E21" s="103" t="s">
        <v>517</v>
      </c>
      <c r="F21" s="102">
        <v>38672</v>
      </c>
      <c r="G21" s="121">
        <f ca="1">(TODAY()-F21)/365</f>
        <v>10.602739726027398</v>
      </c>
      <c r="H21" s="104" t="s">
        <v>808</v>
      </c>
      <c r="I21" s="115">
        <v>3</v>
      </c>
      <c r="J21" s="117" t="s">
        <v>444</v>
      </c>
    </row>
    <row r="22" spans="1:10" x14ac:dyDescent="0.2">
      <c r="A22" s="109">
        <v>610893</v>
      </c>
      <c r="B22" s="103" t="s">
        <v>800</v>
      </c>
      <c r="C22" s="103" t="s">
        <v>383</v>
      </c>
      <c r="D22" s="103" t="s">
        <v>845</v>
      </c>
      <c r="E22" s="103" t="s">
        <v>516</v>
      </c>
      <c r="F22" s="102">
        <v>42319</v>
      </c>
      <c r="G22" s="121">
        <f ca="1">(TODAY()-F22)/365</f>
        <v>0.61095890410958908</v>
      </c>
      <c r="H22" s="104" t="s">
        <v>808</v>
      </c>
      <c r="I22" s="115">
        <v>2</v>
      </c>
      <c r="J22" s="117" t="s">
        <v>850</v>
      </c>
    </row>
    <row r="23" spans="1:10" x14ac:dyDescent="0.2">
      <c r="A23" s="109">
        <v>312085</v>
      </c>
      <c r="B23" s="103" t="s">
        <v>483</v>
      </c>
      <c r="C23" s="103" t="s">
        <v>43</v>
      </c>
      <c r="D23" s="103" t="s">
        <v>41</v>
      </c>
      <c r="E23" s="103" t="s">
        <v>516</v>
      </c>
      <c r="F23" s="102">
        <v>42219</v>
      </c>
      <c r="G23" s="121">
        <f ca="1">(TODAY()-F23)/365</f>
        <v>0.8849315068493151</v>
      </c>
      <c r="H23" s="104" t="s">
        <v>808</v>
      </c>
      <c r="I23" s="115">
        <v>1</v>
      </c>
      <c r="J23" s="117" t="s">
        <v>304</v>
      </c>
    </row>
    <row r="24" spans="1:10" x14ac:dyDescent="0.2">
      <c r="A24" s="109">
        <v>610983</v>
      </c>
      <c r="B24" s="103" t="s">
        <v>799</v>
      </c>
      <c r="C24" s="103" t="s">
        <v>539</v>
      </c>
      <c r="D24" s="103" t="s">
        <v>540</v>
      </c>
      <c r="E24" s="103" t="s">
        <v>516</v>
      </c>
      <c r="F24" s="102">
        <v>42457</v>
      </c>
      <c r="G24" s="121">
        <f ca="1">(TODAY()-F24)/365</f>
        <v>0.23287671232876711</v>
      </c>
      <c r="H24" s="104" t="s">
        <v>809</v>
      </c>
      <c r="I24" s="131">
        <v>3</v>
      </c>
      <c r="J24" s="132" t="s">
        <v>851</v>
      </c>
    </row>
    <row r="25" spans="1:10" x14ac:dyDescent="0.2">
      <c r="A25" s="109">
        <v>610322</v>
      </c>
      <c r="B25" s="103" t="s">
        <v>408</v>
      </c>
      <c r="C25" s="103" t="s">
        <v>813</v>
      </c>
      <c r="D25" s="103" t="s">
        <v>61</v>
      </c>
      <c r="E25" s="103" t="s">
        <v>516</v>
      </c>
      <c r="F25" s="102">
        <v>36284</v>
      </c>
      <c r="G25" s="121">
        <f ca="1">(TODAY()-F25)/365</f>
        <v>17.145205479452056</v>
      </c>
      <c r="H25" s="104" t="s">
        <v>808</v>
      </c>
      <c r="I25" s="115">
        <v>1</v>
      </c>
      <c r="J25" s="117" t="s">
        <v>292</v>
      </c>
    </row>
    <row r="26" spans="1:10" x14ac:dyDescent="0.2">
      <c r="A26" s="109">
        <v>610975</v>
      </c>
      <c r="B26" s="103" t="s">
        <v>535</v>
      </c>
      <c r="C26" s="103" t="s">
        <v>526</v>
      </c>
      <c r="D26" s="103" t="s">
        <v>519</v>
      </c>
      <c r="E26" s="103" t="s">
        <v>516</v>
      </c>
      <c r="F26" s="102">
        <v>42450</v>
      </c>
      <c r="G26" s="121">
        <f ca="1">(TODAY()-F26)/365</f>
        <v>0.25205479452054796</v>
      </c>
      <c r="H26" s="104" t="s">
        <v>808</v>
      </c>
      <c r="I26" s="115">
        <v>2</v>
      </c>
      <c r="J26" s="117" t="s">
        <v>304</v>
      </c>
    </row>
    <row r="27" spans="1:10" x14ac:dyDescent="0.2">
      <c r="A27" s="109">
        <v>610323</v>
      </c>
      <c r="B27" s="103" t="s">
        <v>409</v>
      </c>
      <c r="C27" s="103" t="s">
        <v>810</v>
      </c>
      <c r="D27" s="103" t="s">
        <v>827</v>
      </c>
      <c r="E27" s="103" t="s">
        <v>517</v>
      </c>
      <c r="F27" s="102">
        <v>32160</v>
      </c>
      <c r="G27" s="121">
        <f ca="1">(TODAY()-F27)/365</f>
        <v>28.443835616438356</v>
      </c>
      <c r="H27" s="104" t="s">
        <v>808</v>
      </c>
      <c r="I27" s="115">
        <v>1</v>
      </c>
      <c r="J27" s="117" t="s">
        <v>444</v>
      </c>
    </row>
    <row r="28" spans="1:10" x14ac:dyDescent="0.2">
      <c r="A28" s="109">
        <v>610864</v>
      </c>
      <c r="B28" s="103" t="s">
        <v>340</v>
      </c>
      <c r="C28" s="103" t="s">
        <v>294</v>
      </c>
      <c r="D28" s="103" t="s">
        <v>295</v>
      </c>
      <c r="E28" s="103" t="s">
        <v>516</v>
      </c>
      <c r="F28" s="102">
        <v>42296</v>
      </c>
      <c r="G28" s="121">
        <f ca="1">(TODAY()-F28)/365</f>
        <v>0.67397260273972603</v>
      </c>
      <c r="H28" s="104" t="s">
        <v>808</v>
      </c>
      <c r="I28" s="115">
        <v>1</v>
      </c>
      <c r="J28" s="117" t="s">
        <v>850</v>
      </c>
    </row>
    <row r="29" spans="1:10" x14ac:dyDescent="0.2">
      <c r="A29" s="109">
        <v>610840</v>
      </c>
      <c r="B29" s="103" t="s">
        <v>337</v>
      </c>
      <c r="C29" s="103" t="s">
        <v>282</v>
      </c>
      <c r="D29" s="103" t="s">
        <v>284</v>
      </c>
      <c r="E29" s="103" t="s">
        <v>318</v>
      </c>
      <c r="F29" s="102">
        <v>42282</v>
      </c>
      <c r="G29" s="121">
        <f ca="1">(TODAY()-F29)/365</f>
        <v>0.71232876712328763</v>
      </c>
      <c r="H29" s="104" t="s">
        <v>808</v>
      </c>
      <c r="I29" s="115">
        <v>3</v>
      </c>
      <c r="J29" s="117" t="s">
        <v>292</v>
      </c>
    </row>
    <row r="30" spans="1:10" x14ac:dyDescent="0.2">
      <c r="A30" s="109">
        <v>610988</v>
      </c>
      <c r="B30" s="103" t="s">
        <v>798</v>
      </c>
      <c r="C30" s="103" t="s">
        <v>767</v>
      </c>
      <c r="D30" s="103" t="s">
        <v>847</v>
      </c>
      <c r="E30" s="103" t="s">
        <v>516</v>
      </c>
      <c r="F30" s="102">
        <v>42471</v>
      </c>
      <c r="G30" s="121">
        <f ca="1">(TODAY()-F30)/365</f>
        <v>0.19452054794520549</v>
      </c>
      <c r="H30" s="104" t="s">
        <v>809</v>
      </c>
      <c r="I30" s="115">
        <v>2</v>
      </c>
      <c r="J30" s="117" t="s">
        <v>454</v>
      </c>
    </row>
    <row r="31" spans="1:10" x14ac:dyDescent="0.2">
      <c r="A31" s="109">
        <v>610992</v>
      </c>
      <c r="B31" s="103" t="s">
        <v>797</v>
      </c>
      <c r="C31" s="103" t="s">
        <v>825</v>
      </c>
      <c r="D31" s="103" t="s">
        <v>842</v>
      </c>
      <c r="E31" s="103" t="s">
        <v>516</v>
      </c>
      <c r="F31" s="102">
        <v>42513</v>
      </c>
      <c r="G31" s="121">
        <f ca="1">(TODAY()-F31)/365</f>
        <v>7.9452054794520555E-2</v>
      </c>
      <c r="H31" s="104" t="s">
        <v>809</v>
      </c>
      <c r="I31" s="115">
        <v>2</v>
      </c>
      <c r="J31" s="117" t="s">
        <v>51</v>
      </c>
    </row>
    <row r="32" spans="1:10" x14ac:dyDescent="0.2">
      <c r="A32" s="109">
        <v>610922</v>
      </c>
      <c r="B32" s="103" t="s">
        <v>881</v>
      </c>
      <c r="C32" s="103" t="s">
        <v>880</v>
      </c>
      <c r="D32" s="103" t="s">
        <v>391</v>
      </c>
      <c r="E32" s="103" t="s">
        <v>516</v>
      </c>
      <c r="F32" s="102">
        <v>42331</v>
      </c>
      <c r="G32" s="121">
        <f ca="1">(TODAY()-F32)/365</f>
        <v>0.57808219178082187</v>
      </c>
      <c r="H32" s="104" t="s">
        <v>808</v>
      </c>
      <c r="I32" s="115">
        <v>3</v>
      </c>
      <c r="J32" s="117" t="s">
        <v>304</v>
      </c>
    </row>
    <row r="33" spans="1:10" x14ac:dyDescent="0.2">
      <c r="A33" s="109">
        <v>610817</v>
      </c>
      <c r="B33" s="103" t="s">
        <v>796</v>
      </c>
      <c r="C33" s="103" t="s">
        <v>819</v>
      </c>
      <c r="D33" s="103" t="s">
        <v>838</v>
      </c>
      <c r="E33" s="103" t="s">
        <v>516</v>
      </c>
      <c r="F33" s="102">
        <v>42170</v>
      </c>
      <c r="G33" s="121">
        <f ca="1">(TODAY()-F33)/365</f>
        <v>1.0191780821917809</v>
      </c>
      <c r="H33" s="104" t="s">
        <v>808</v>
      </c>
      <c r="I33" s="115">
        <v>1</v>
      </c>
      <c r="J33" s="116" t="s">
        <v>851</v>
      </c>
    </row>
    <row r="34" spans="1:10" x14ac:dyDescent="0.2">
      <c r="A34" s="109">
        <v>610814</v>
      </c>
      <c r="B34" s="103" t="s">
        <v>80</v>
      </c>
      <c r="C34" s="103" t="s">
        <v>820</v>
      </c>
      <c r="D34" s="103" t="s">
        <v>258</v>
      </c>
      <c r="E34" s="103" t="s">
        <v>778</v>
      </c>
      <c r="F34" s="102">
        <v>42177</v>
      </c>
      <c r="G34" s="121">
        <f ca="1">(TODAY()-F34)/365</f>
        <v>1</v>
      </c>
      <c r="H34" s="104" t="s">
        <v>808</v>
      </c>
      <c r="I34" s="115">
        <v>1</v>
      </c>
      <c r="J34" s="117" t="s">
        <v>513</v>
      </c>
    </row>
    <row r="35" spans="1:10" x14ac:dyDescent="0.2">
      <c r="A35" s="109">
        <v>610339</v>
      </c>
      <c r="B35" s="103" t="s">
        <v>795</v>
      </c>
      <c r="C35" s="103" t="s">
        <v>445</v>
      </c>
      <c r="D35" s="103" t="s">
        <v>518</v>
      </c>
      <c r="E35" s="103" t="s">
        <v>516</v>
      </c>
      <c r="F35" s="102">
        <v>36286</v>
      </c>
      <c r="G35" s="121">
        <f ca="1">(TODAY()-F35)/365</f>
        <v>17.139726027397259</v>
      </c>
      <c r="H35" s="104" t="s">
        <v>808</v>
      </c>
      <c r="I35" s="115">
        <v>1</v>
      </c>
      <c r="J35" s="117" t="s">
        <v>454</v>
      </c>
    </row>
    <row r="36" spans="1:10" x14ac:dyDescent="0.2">
      <c r="A36" s="109">
        <v>610921</v>
      </c>
      <c r="B36" s="103" t="s">
        <v>493</v>
      </c>
      <c r="C36" s="103" t="s">
        <v>437</v>
      </c>
      <c r="D36" s="103" t="s">
        <v>268</v>
      </c>
      <c r="E36" s="103" t="s">
        <v>318</v>
      </c>
      <c r="F36" s="102">
        <v>42338</v>
      </c>
      <c r="G36" s="121">
        <f ca="1">(TODAY()-F36)/365</f>
        <v>0.55890410958904113</v>
      </c>
      <c r="H36" s="104" t="s">
        <v>808</v>
      </c>
      <c r="I36" s="115">
        <v>3</v>
      </c>
      <c r="J36" s="117" t="s">
        <v>292</v>
      </c>
    </row>
    <row r="37" spans="1:10" x14ac:dyDescent="0.2">
      <c r="A37" s="109">
        <v>610885</v>
      </c>
      <c r="B37" s="103" t="s">
        <v>794</v>
      </c>
      <c r="C37" s="103" t="s">
        <v>433</v>
      </c>
      <c r="D37" s="103" t="s">
        <v>313</v>
      </c>
      <c r="E37" s="103" t="s">
        <v>516</v>
      </c>
      <c r="F37" s="102">
        <v>42305</v>
      </c>
      <c r="G37" s="121">
        <f ca="1">(TODAY()-F37)/365</f>
        <v>0.64931506849315068</v>
      </c>
      <c r="H37" s="104" t="s">
        <v>808</v>
      </c>
      <c r="I37" s="115">
        <v>1</v>
      </c>
      <c r="J37" s="117" t="s">
        <v>853</v>
      </c>
    </row>
    <row r="38" spans="1:10" x14ac:dyDescent="0.2">
      <c r="A38" s="109">
        <v>312045</v>
      </c>
      <c r="B38" s="103" t="s">
        <v>793</v>
      </c>
      <c r="C38" s="103" t="s">
        <v>822</v>
      </c>
      <c r="D38" s="103" t="s">
        <v>285</v>
      </c>
      <c r="E38" s="103" t="s">
        <v>516</v>
      </c>
      <c r="F38" s="102">
        <v>42282</v>
      </c>
      <c r="G38" s="121">
        <f ca="1">(TODAY()-F38)/365</f>
        <v>0.71232876712328763</v>
      </c>
      <c r="H38" s="104" t="s">
        <v>808</v>
      </c>
      <c r="I38" s="115">
        <v>1</v>
      </c>
      <c r="J38" s="117" t="s">
        <v>380</v>
      </c>
    </row>
    <row r="39" spans="1:10" x14ac:dyDescent="0.2">
      <c r="A39" s="109">
        <v>610989</v>
      </c>
      <c r="B39" s="103" t="s">
        <v>792</v>
      </c>
      <c r="C39" s="103" t="s">
        <v>769</v>
      </c>
      <c r="D39" s="103" t="s">
        <v>770</v>
      </c>
      <c r="E39" s="103" t="s">
        <v>516</v>
      </c>
      <c r="F39" s="102">
        <v>42471</v>
      </c>
      <c r="G39" s="121">
        <f ca="1">(TODAY()-F39)/365</f>
        <v>0.19452054794520549</v>
      </c>
      <c r="H39" s="104" t="s">
        <v>809</v>
      </c>
      <c r="I39" s="115">
        <v>2</v>
      </c>
      <c r="J39" s="117" t="s">
        <v>850</v>
      </c>
    </row>
    <row r="40" spans="1:10" x14ac:dyDescent="0.2">
      <c r="A40" s="109">
        <v>610342</v>
      </c>
      <c r="B40" s="128" t="s">
        <v>528</v>
      </c>
      <c r="C40" s="103" t="s">
        <v>506</v>
      </c>
      <c r="D40" s="103" t="s">
        <v>505</v>
      </c>
      <c r="E40" s="103" t="s">
        <v>516</v>
      </c>
      <c r="F40" s="102">
        <v>32001</v>
      </c>
      <c r="G40" s="121">
        <f ca="1">(TODAY()-F40)/365</f>
        <v>28.87945205479452</v>
      </c>
      <c r="H40" s="104" t="s">
        <v>808</v>
      </c>
      <c r="I40" s="115">
        <v>1</v>
      </c>
      <c r="J40" s="129" t="s">
        <v>850</v>
      </c>
    </row>
    <row r="41" spans="1:10" x14ac:dyDescent="0.2">
      <c r="A41" s="109">
        <v>610868</v>
      </c>
      <c r="B41" s="103" t="s">
        <v>366</v>
      </c>
      <c r="C41" s="103" t="s">
        <v>308</v>
      </c>
      <c r="D41" s="103" t="s">
        <v>305</v>
      </c>
      <c r="E41" s="103" t="s">
        <v>318</v>
      </c>
      <c r="F41" s="102">
        <v>42303</v>
      </c>
      <c r="G41" s="121">
        <f ca="1">(TODAY()-F41)/365</f>
        <v>0.65479452054794518</v>
      </c>
      <c r="H41" s="104" t="s">
        <v>808</v>
      </c>
      <c r="I41" s="115">
        <v>2</v>
      </c>
      <c r="J41" s="117" t="s">
        <v>292</v>
      </c>
    </row>
    <row r="42" spans="1:10" x14ac:dyDescent="0.2">
      <c r="A42" s="109">
        <v>610829</v>
      </c>
      <c r="B42" s="103" t="s">
        <v>335</v>
      </c>
      <c r="C42" s="103" t="s">
        <v>59</v>
      </c>
      <c r="D42" s="103" t="s">
        <v>58</v>
      </c>
      <c r="E42" s="103" t="s">
        <v>516</v>
      </c>
      <c r="F42" s="102">
        <v>42233</v>
      </c>
      <c r="G42" s="121">
        <f ca="1">(TODAY()-F42)/365</f>
        <v>0.84657534246575339</v>
      </c>
      <c r="H42" s="104" t="s">
        <v>808</v>
      </c>
      <c r="I42" s="115">
        <v>1</v>
      </c>
      <c r="J42" s="117" t="s">
        <v>52</v>
      </c>
    </row>
    <row r="43" spans="1:10" x14ac:dyDescent="0.2">
      <c r="A43" s="109">
        <v>610803</v>
      </c>
      <c r="B43" s="103" t="s">
        <v>402</v>
      </c>
      <c r="C43" s="103" t="s">
        <v>818</v>
      </c>
      <c r="D43" s="103" t="s">
        <v>837</v>
      </c>
      <c r="E43" s="103" t="s">
        <v>517</v>
      </c>
      <c r="F43" s="102">
        <v>42142</v>
      </c>
      <c r="G43" s="121">
        <f ca="1">(TODAY()-F43)/365</f>
        <v>1.095890410958904</v>
      </c>
      <c r="H43" s="104" t="s">
        <v>808</v>
      </c>
      <c r="I43" s="115">
        <v>2</v>
      </c>
      <c r="J43" s="117" t="s">
        <v>444</v>
      </c>
    </row>
    <row r="44" spans="1:10" x14ac:dyDescent="0.2">
      <c r="A44" s="109">
        <v>610344</v>
      </c>
      <c r="B44" s="103" t="s">
        <v>400</v>
      </c>
      <c r="C44" s="103" t="s">
        <v>396</v>
      </c>
      <c r="D44" s="103" t="s">
        <v>62</v>
      </c>
      <c r="E44" s="103" t="s">
        <v>516</v>
      </c>
      <c r="F44" s="102">
        <v>37095</v>
      </c>
      <c r="G44" s="121">
        <f ca="1">(TODAY()-F44)/365</f>
        <v>14.923287671232877</v>
      </c>
      <c r="H44" s="104" t="s">
        <v>808</v>
      </c>
      <c r="I44" s="115">
        <v>1</v>
      </c>
      <c r="J44" s="117" t="s">
        <v>851</v>
      </c>
    </row>
    <row r="45" spans="1:10" x14ac:dyDescent="0.2">
      <c r="A45" s="109">
        <v>610799</v>
      </c>
      <c r="B45" s="103" t="s">
        <v>791</v>
      </c>
      <c r="C45" s="103" t="s">
        <v>396</v>
      </c>
      <c r="D45" s="103" t="s">
        <v>452</v>
      </c>
      <c r="E45" s="103" t="s">
        <v>516</v>
      </c>
      <c r="F45" s="102">
        <v>42114</v>
      </c>
      <c r="G45" s="121">
        <f ca="1">(TODAY()-F45)/365</f>
        <v>1.1726027397260275</v>
      </c>
      <c r="H45" s="104" t="s">
        <v>808</v>
      </c>
      <c r="I45" s="115">
        <v>1</v>
      </c>
      <c r="J45" s="117" t="s">
        <v>51</v>
      </c>
    </row>
    <row r="46" spans="1:10" x14ac:dyDescent="0.2">
      <c r="A46" s="109">
        <v>610345</v>
      </c>
      <c r="B46" s="103" t="s">
        <v>401</v>
      </c>
      <c r="C46" s="103" t="s">
        <v>396</v>
      </c>
      <c r="D46" s="103" t="s">
        <v>263</v>
      </c>
      <c r="E46" s="103" t="s">
        <v>516</v>
      </c>
      <c r="F46" s="102">
        <v>37155</v>
      </c>
      <c r="G46" s="121">
        <f ca="1">(TODAY()-F46)/365</f>
        <v>14.758904109589041</v>
      </c>
      <c r="H46" s="104" t="s">
        <v>808</v>
      </c>
      <c r="I46" s="115">
        <v>1</v>
      </c>
      <c r="J46" s="116" t="s">
        <v>52</v>
      </c>
    </row>
    <row r="47" spans="1:10" x14ac:dyDescent="0.2">
      <c r="A47" s="109">
        <v>610979</v>
      </c>
      <c r="B47" s="103" t="s">
        <v>790</v>
      </c>
      <c r="C47" s="103" t="s">
        <v>537</v>
      </c>
      <c r="D47" s="103" t="s">
        <v>538</v>
      </c>
      <c r="E47" s="103" t="s">
        <v>516</v>
      </c>
      <c r="F47" s="102">
        <v>42457</v>
      </c>
      <c r="G47" s="121">
        <f ca="1">(TODAY()-F47)/365</f>
        <v>0.23287671232876711</v>
      </c>
      <c r="H47" s="104" t="s">
        <v>809</v>
      </c>
      <c r="I47" s="115">
        <v>2</v>
      </c>
      <c r="J47" s="117" t="s">
        <v>51</v>
      </c>
    </row>
    <row r="48" spans="1:10" x14ac:dyDescent="0.2">
      <c r="A48" s="109">
        <v>610859</v>
      </c>
      <c r="B48" s="103" t="s">
        <v>341</v>
      </c>
      <c r="C48" s="103" t="s">
        <v>296</v>
      </c>
      <c r="D48" s="103" t="s">
        <v>63</v>
      </c>
      <c r="E48" s="103" t="s">
        <v>516</v>
      </c>
      <c r="F48" s="102">
        <v>42296</v>
      </c>
      <c r="G48" s="121">
        <f ca="1">(TODAY()-F48)/365</f>
        <v>0.67397260273972603</v>
      </c>
      <c r="H48" s="104" t="s">
        <v>808</v>
      </c>
      <c r="I48" s="115">
        <v>1</v>
      </c>
      <c r="J48" s="117" t="s">
        <v>852</v>
      </c>
    </row>
    <row r="49" spans="1:10" x14ac:dyDescent="0.2">
      <c r="A49" s="109">
        <v>610347</v>
      </c>
      <c r="B49" s="103" t="s">
        <v>411</v>
      </c>
      <c r="C49" s="103" t="s">
        <v>296</v>
      </c>
      <c r="D49" s="103" t="s">
        <v>830</v>
      </c>
      <c r="E49" s="103" t="s">
        <v>516</v>
      </c>
      <c r="F49" s="102">
        <v>32519</v>
      </c>
      <c r="G49" s="121">
        <f ca="1">(TODAY()-F49)/365</f>
        <v>27.460273972602739</v>
      </c>
      <c r="H49" s="104" t="s">
        <v>808</v>
      </c>
      <c r="I49" s="115">
        <v>1</v>
      </c>
      <c r="J49" s="117" t="s">
        <v>52</v>
      </c>
    </row>
    <row r="50" spans="1:10" x14ac:dyDescent="0.2">
      <c r="A50" s="109">
        <v>610349</v>
      </c>
      <c r="B50" s="103" t="s">
        <v>412</v>
      </c>
      <c r="C50" s="103" t="s">
        <v>812</v>
      </c>
      <c r="D50" s="103" t="s">
        <v>829</v>
      </c>
      <c r="E50" s="103" t="s">
        <v>516</v>
      </c>
      <c r="F50" s="102">
        <v>32244</v>
      </c>
      <c r="G50" s="121">
        <f ca="1">(TODAY()-F50)/365</f>
        <v>28.213698630136985</v>
      </c>
      <c r="H50" s="104" t="s">
        <v>808</v>
      </c>
      <c r="I50" s="115" t="s">
        <v>281</v>
      </c>
      <c r="J50" s="117" t="s">
        <v>850</v>
      </c>
    </row>
    <row r="51" spans="1:10" x14ac:dyDescent="0.2">
      <c r="A51" s="109">
        <v>610822</v>
      </c>
      <c r="B51" s="103" t="s">
        <v>367</v>
      </c>
      <c r="C51" s="103" t="s">
        <v>821</v>
      </c>
      <c r="D51" s="103" t="s">
        <v>42</v>
      </c>
      <c r="E51" s="103" t="s">
        <v>516</v>
      </c>
      <c r="F51" s="102">
        <v>42219</v>
      </c>
      <c r="G51" s="121">
        <f ca="1">(TODAY()-F51)/365</f>
        <v>0.8849315068493151</v>
      </c>
      <c r="H51" s="104" t="s">
        <v>808</v>
      </c>
      <c r="I51" s="115">
        <v>1</v>
      </c>
      <c r="J51" s="117" t="s">
        <v>851</v>
      </c>
    </row>
    <row r="52" spans="1:10" x14ac:dyDescent="0.2">
      <c r="A52" s="109">
        <v>610353</v>
      </c>
      <c r="B52" s="103" t="s">
        <v>413</v>
      </c>
      <c r="C52" s="103" t="s">
        <v>814</v>
      </c>
      <c r="D52" s="103" t="s">
        <v>833</v>
      </c>
      <c r="E52" s="103" t="s">
        <v>516</v>
      </c>
      <c r="F52" s="102">
        <v>37081</v>
      </c>
      <c r="G52" s="121">
        <f ca="1">(TODAY()-F52)/365</f>
        <v>14.961643835616439</v>
      </c>
      <c r="H52" s="104" t="s">
        <v>808</v>
      </c>
      <c r="I52" s="115">
        <v>1</v>
      </c>
      <c r="J52" s="129" t="s">
        <v>851</v>
      </c>
    </row>
    <row r="53" spans="1:10" x14ac:dyDescent="0.2">
      <c r="A53" s="109">
        <v>610359</v>
      </c>
      <c r="B53" s="113" t="s">
        <v>789</v>
      </c>
      <c r="C53" s="103" t="s">
        <v>811</v>
      </c>
      <c r="D53" s="103" t="s">
        <v>828</v>
      </c>
      <c r="E53" s="103" t="s">
        <v>516</v>
      </c>
      <c r="F53" s="102">
        <v>32186</v>
      </c>
      <c r="G53" s="121">
        <f ca="1">(TODAY()-F53)/365</f>
        <v>28.372602739726027</v>
      </c>
      <c r="H53" s="104" t="s">
        <v>808</v>
      </c>
      <c r="I53" s="115">
        <v>1</v>
      </c>
      <c r="J53" s="116"/>
    </row>
    <row r="54" spans="1:10" x14ac:dyDescent="0.2">
      <c r="A54" s="109">
        <v>610849</v>
      </c>
      <c r="B54" s="103" t="s">
        <v>342</v>
      </c>
      <c r="C54" s="103" t="s">
        <v>297</v>
      </c>
      <c r="D54" s="103" t="s">
        <v>45</v>
      </c>
      <c r="E54" s="103" t="s">
        <v>516</v>
      </c>
      <c r="F54" s="102">
        <v>42296</v>
      </c>
      <c r="G54" s="121">
        <f ca="1">(TODAY()-F54)/365</f>
        <v>0.67397260273972603</v>
      </c>
      <c r="H54" s="104" t="s">
        <v>808</v>
      </c>
      <c r="I54" s="115">
        <v>1</v>
      </c>
      <c r="J54" s="117" t="s">
        <v>850</v>
      </c>
    </row>
    <row r="55" spans="1:10" x14ac:dyDescent="0.2">
      <c r="A55" s="109">
        <v>611000</v>
      </c>
      <c r="B55" s="103" t="s">
        <v>788</v>
      </c>
      <c r="C55" s="103" t="s">
        <v>297</v>
      </c>
      <c r="D55" s="103" t="s">
        <v>775</v>
      </c>
      <c r="E55" s="103" t="s">
        <v>516</v>
      </c>
      <c r="F55" s="102">
        <v>42513</v>
      </c>
      <c r="G55" s="121">
        <f ca="1">(TODAY()-F55)/365</f>
        <v>7.9452054794520555E-2</v>
      </c>
      <c r="H55" s="104" t="s">
        <v>809</v>
      </c>
      <c r="I55" s="115">
        <v>2</v>
      </c>
      <c r="J55" s="117" t="s">
        <v>850</v>
      </c>
    </row>
    <row r="56" spans="1:10" x14ac:dyDescent="0.2">
      <c r="A56" s="109">
        <v>610556</v>
      </c>
      <c r="B56" s="103" t="s">
        <v>416</v>
      </c>
      <c r="C56" s="103" t="s">
        <v>397</v>
      </c>
      <c r="D56" s="103" t="s">
        <v>836</v>
      </c>
      <c r="E56" s="103" t="s">
        <v>318</v>
      </c>
      <c r="F56" s="102">
        <v>38688</v>
      </c>
      <c r="G56" s="121">
        <f ca="1">(TODAY()-F56)/365</f>
        <v>10.558904109589042</v>
      </c>
      <c r="H56" s="104" t="s">
        <v>808</v>
      </c>
      <c r="I56" s="115">
        <v>1</v>
      </c>
      <c r="J56" s="117" t="s">
        <v>292</v>
      </c>
    </row>
    <row r="57" spans="1:10" x14ac:dyDescent="0.2">
      <c r="A57" s="109">
        <v>610853</v>
      </c>
      <c r="B57" s="103" t="s">
        <v>347</v>
      </c>
      <c r="C57" s="103" t="s">
        <v>302</v>
      </c>
      <c r="D57" s="103" t="s">
        <v>303</v>
      </c>
      <c r="E57" s="103" t="s">
        <v>516</v>
      </c>
      <c r="F57" s="102">
        <v>42298</v>
      </c>
      <c r="G57" s="121">
        <f ca="1">(TODAY()-F57)/365</f>
        <v>0.66849315068493154</v>
      </c>
      <c r="H57" s="104" t="s">
        <v>808</v>
      </c>
      <c r="I57" s="115">
        <v>1</v>
      </c>
      <c r="J57" s="132" t="s">
        <v>52</v>
      </c>
    </row>
    <row r="58" spans="1:10" x14ac:dyDescent="0.2">
      <c r="A58" s="109">
        <v>610888</v>
      </c>
      <c r="B58" s="103" t="s">
        <v>351</v>
      </c>
      <c r="C58" s="103" t="s">
        <v>314</v>
      </c>
      <c r="D58" s="103" t="s">
        <v>315</v>
      </c>
      <c r="E58" s="103" t="s">
        <v>516</v>
      </c>
      <c r="F58" s="102">
        <v>42310</v>
      </c>
      <c r="G58" s="121">
        <f ca="1">(TODAY()-F58)/365</f>
        <v>0.63561643835616444</v>
      </c>
      <c r="H58" s="104" t="s">
        <v>808</v>
      </c>
      <c r="I58" s="115">
        <v>1</v>
      </c>
      <c r="J58" s="117" t="s">
        <v>853</v>
      </c>
    </row>
    <row r="59" spans="1:10" x14ac:dyDescent="0.2">
      <c r="A59" s="109">
        <v>610871</v>
      </c>
      <c r="B59" s="103" t="s">
        <v>787</v>
      </c>
      <c r="C59" s="103" t="s">
        <v>298</v>
      </c>
      <c r="D59" s="103" t="s">
        <v>840</v>
      </c>
      <c r="E59" s="103" t="s">
        <v>516</v>
      </c>
      <c r="F59" s="102">
        <v>42298</v>
      </c>
      <c r="G59" s="121">
        <f ca="1">(TODAY()-F59)/365</f>
        <v>0.66849315068493154</v>
      </c>
      <c r="H59" s="104" t="s">
        <v>808</v>
      </c>
      <c r="I59" s="115">
        <v>1</v>
      </c>
      <c r="J59" s="132" t="s">
        <v>380</v>
      </c>
    </row>
    <row r="60" spans="1:10" x14ac:dyDescent="0.2">
      <c r="A60" s="109">
        <v>610971</v>
      </c>
      <c r="B60" s="103" t="s">
        <v>532</v>
      </c>
      <c r="C60" s="103" t="s">
        <v>522</v>
      </c>
      <c r="D60" s="103" t="s">
        <v>523</v>
      </c>
      <c r="E60" s="103" t="s">
        <v>318</v>
      </c>
      <c r="F60" s="102">
        <v>42422</v>
      </c>
      <c r="G60" s="121">
        <f ca="1">(TODAY()-F60)/365</f>
        <v>0.32876712328767121</v>
      </c>
      <c r="H60" s="104" t="s">
        <v>808</v>
      </c>
      <c r="I60" s="130">
        <v>3</v>
      </c>
      <c r="J60" s="117" t="s">
        <v>292</v>
      </c>
    </row>
    <row r="61" spans="1:10" x14ac:dyDescent="0.2">
      <c r="A61" s="109">
        <v>610967</v>
      </c>
      <c r="B61" s="103" t="s">
        <v>531</v>
      </c>
      <c r="C61" s="103" t="s">
        <v>518</v>
      </c>
      <c r="D61" s="103" t="s">
        <v>40</v>
      </c>
      <c r="E61" s="103" t="s">
        <v>318</v>
      </c>
      <c r="F61" s="102">
        <v>42415</v>
      </c>
      <c r="G61" s="121">
        <f ca="1">(TODAY()-F61)/365</f>
        <v>0.34794520547945207</v>
      </c>
      <c r="H61" s="104" t="s">
        <v>808</v>
      </c>
      <c r="I61" s="131">
        <v>3</v>
      </c>
      <c r="J61" s="117" t="s">
        <v>292</v>
      </c>
    </row>
    <row r="62" spans="1:10" x14ac:dyDescent="0.2">
      <c r="A62" s="109">
        <v>610827</v>
      </c>
      <c r="B62" s="103" t="s">
        <v>786</v>
      </c>
      <c r="C62" s="103" t="s">
        <v>632</v>
      </c>
      <c r="D62" s="103" t="s">
        <v>633</v>
      </c>
      <c r="E62" s="103" t="s">
        <v>318</v>
      </c>
      <c r="F62" s="102">
        <v>42247</v>
      </c>
      <c r="G62" s="121">
        <f ca="1">(TODAY()-F62)/365</f>
        <v>0.80821917808219179</v>
      </c>
      <c r="H62" s="104" t="s">
        <v>808</v>
      </c>
      <c r="I62" s="115">
        <v>2</v>
      </c>
      <c r="J62" s="117" t="s">
        <v>292</v>
      </c>
    </row>
    <row r="63" spans="1:10" x14ac:dyDescent="0.2">
      <c r="A63" s="109">
        <v>610373</v>
      </c>
      <c r="B63" s="103" t="s">
        <v>418</v>
      </c>
      <c r="C63" s="103" t="s">
        <v>632</v>
      </c>
      <c r="D63" s="103" t="s">
        <v>832</v>
      </c>
      <c r="E63" s="103" t="s">
        <v>516</v>
      </c>
      <c r="F63" s="102">
        <v>36031</v>
      </c>
      <c r="G63" s="121">
        <f ca="1">(TODAY()-F63)/365</f>
        <v>17.838356164383562</v>
      </c>
      <c r="H63" s="104" t="s">
        <v>808</v>
      </c>
      <c r="I63" s="115">
        <v>1</v>
      </c>
      <c r="J63" s="117" t="s">
        <v>853</v>
      </c>
    </row>
    <row r="64" spans="1:10" x14ac:dyDescent="0.2">
      <c r="A64" s="109">
        <v>610897</v>
      </c>
      <c r="B64" s="103" t="s">
        <v>358</v>
      </c>
      <c r="C64" s="103" t="s">
        <v>328</v>
      </c>
      <c r="D64" s="103" t="s">
        <v>284</v>
      </c>
      <c r="E64" s="103" t="s">
        <v>516</v>
      </c>
      <c r="F64" s="102">
        <v>42319</v>
      </c>
      <c r="G64" s="121">
        <f ca="1">(TODAY()-F64)/365</f>
        <v>0.61095890410958908</v>
      </c>
      <c r="H64" s="104" t="s">
        <v>808</v>
      </c>
      <c r="I64" s="115">
        <v>3</v>
      </c>
      <c r="J64" s="117" t="s">
        <v>52</v>
      </c>
    </row>
    <row r="65" spans="1:10" x14ac:dyDescent="0.2">
      <c r="A65" s="109">
        <v>610926</v>
      </c>
      <c r="B65" s="103" t="s">
        <v>495</v>
      </c>
      <c r="C65" s="103" t="s">
        <v>325</v>
      </c>
      <c r="D65" s="103" t="s">
        <v>438</v>
      </c>
      <c r="E65" s="103" t="s">
        <v>516</v>
      </c>
      <c r="F65" s="102">
        <v>42338</v>
      </c>
      <c r="G65" s="121">
        <f ca="1">(TODAY()-F65)/365</f>
        <v>0.55890410958904113</v>
      </c>
      <c r="H65" s="104" t="s">
        <v>808</v>
      </c>
      <c r="I65" s="115">
        <v>2</v>
      </c>
      <c r="J65" s="117" t="s">
        <v>850</v>
      </c>
    </row>
    <row r="66" spans="1:10" x14ac:dyDescent="0.2">
      <c r="A66" s="109">
        <v>610385</v>
      </c>
      <c r="B66" s="103" t="s">
        <v>419</v>
      </c>
      <c r="C66" s="103" t="s">
        <v>325</v>
      </c>
      <c r="D66" s="103" t="s">
        <v>831</v>
      </c>
      <c r="E66" s="103" t="s">
        <v>516</v>
      </c>
      <c r="F66" s="102">
        <v>35478</v>
      </c>
      <c r="G66" s="121">
        <f ca="1">(TODAY()-F66)/365</f>
        <v>19.353424657534248</v>
      </c>
      <c r="H66" s="104" t="s">
        <v>808</v>
      </c>
      <c r="I66" s="115" t="s">
        <v>281</v>
      </c>
      <c r="J66" s="117" t="s">
        <v>851</v>
      </c>
    </row>
    <row r="67" spans="1:10" x14ac:dyDescent="0.2">
      <c r="A67" s="109">
        <v>610899</v>
      </c>
      <c r="B67" s="103" t="s">
        <v>356</v>
      </c>
      <c r="C67" s="103" t="s">
        <v>325</v>
      </c>
      <c r="D67" s="103" t="s">
        <v>326</v>
      </c>
      <c r="E67" s="112" t="s">
        <v>516</v>
      </c>
      <c r="F67" s="102">
        <v>42319</v>
      </c>
      <c r="G67" s="121">
        <f ca="1">(TODAY()-F67)/365</f>
        <v>0.61095890410958908</v>
      </c>
      <c r="H67" s="104" t="s">
        <v>808</v>
      </c>
      <c r="I67" s="115">
        <v>2</v>
      </c>
      <c r="J67" s="117" t="s">
        <v>853</v>
      </c>
    </row>
    <row r="68" spans="1:10" x14ac:dyDescent="0.2">
      <c r="A68" s="109">
        <v>610618</v>
      </c>
      <c r="B68" s="103" t="s">
        <v>422</v>
      </c>
      <c r="C68" s="103" t="s">
        <v>384</v>
      </c>
      <c r="D68" s="103" t="s">
        <v>265</v>
      </c>
      <c r="E68" s="103" t="s">
        <v>318</v>
      </c>
      <c r="F68" s="102">
        <v>38915</v>
      </c>
      <c r="G68" s="121">
        <f ca="1">(TODAY()-F68)/365</f>
        <v>9.9369863013698634</v>
      </c>
      <c r="H68" s="104" t="s">
        <v>808</v>
      </c>
      <c r="I68" s="115">
        <v>1</v>
      </c>
      <c r="J68" s="117" t="s">
        <v>292</v>
      </c>
    </row>
    <row r="69" spans="1:10" x14ac:dyDescent="0.2">
      <c r="A69" s="109">
        <v>610620</v>
      </c>
      <c r="B69" s="103" t="s">
        <v>423</v>
      </c>
      <c r="C69" s="103" t="s">
        <v>385</v>
      </c>
      <c r="D69" s="103" t="s">
        <v>266</v>
      </c>
      <c r="E69" s="103" t="s">
        <v>516</v>
      </c>
      <c r="F69" s="102">
        <v>38919</v>
      </c>
      <c r="G69" s="121">
        <f ca="1">(TODAY()-F69)/365</f>
        <v>9.9260273972602739</v>
      </c>
      <c r="H69" s="104" t="s">
        <v>808</v>
      </c>
      <c r="I69" s="115">
        <v>1</v>
      </c>
      <c r="J69" s="117" t="s">
        <v>849</v>
      </c>
    </row>
    <row r="70" spans="1:10" x14ac:dyDescent="0.2">
      <c r="A70" s="109">
        <v>650441</v>
      </c>
      <c r="B70" s="103" t="s">
        <v>496</v>
      </c>
      <c r="C70" s="103" t="s">
        <v>440</v>
      </c>
      <c r="D70" s="103" t="s">
        <v>439</v>
      </c>
      <c r="E70" s="103" t="s">
        <v>318</v>
      </c>
      <c r="F70" s="102">
        <v>42338</v>
      </c>
      <c r="G70" s="121">
        <f ca="1">(TODAY()-F70)/365</f>
        <v>0.55890410958904113</v>
      </c>
      <c r="H70" s="104" t="s">
        <v>808</v>
      </c>
      <c r="I70" s="115">
        <v>3</v>
      </c>
      <c r="J70" s="117" t="s">
        <v>292</v>
      </c>
    </row>
    <row r="71" spans="1:10" x14ac:dyDescent="0.2">
      <c r="A71" s="109">
        <v>610883</v>
      </c>
      <c r="B71" s="103" t="s">
        <v>785</v>
      </c>
      <c r="C71" s="103" t="s">
        <v>316</v>
      </c>
      <c r="D71" s="103" t="s">
        <v>844</v>
      </c>
      <c r="E71" s="103" t="s">
        <v>516</v>
      </c>
      <c r="F71" s="102">
        <v>42310</v>
      </c>
      <c r="G71" s="121">
        <f ca="1">(TODAY()-F71)/365</f>
        <v>0.63561643835616444</v>
      </c>
      <c r="H71" s="104" t="s">
        <v>808</v>
      </c>
      <c r="I71" s="115">
        <v>2</v>
      </c>
      <c r="J71" s="117" t="s">
        <v>852</v>
      </c>
    </row>
    <row r="72" spans="1:10" x14ac:dyDescent="0.2">
      <c r="A72" s="109">
        <v>610875</v>
      </c>
      <c r="B72" s="103" t="s">
        <v>345</v>
      </c>
      <c r="C72" s="103" t="s">
        <v>299</v>
      </c>
      <c r="D72" s="103" t="s">
        <v>300</v>
      </c>
      <c r="E72" s="103" t="s">
        <v>318</v>
      </c>
      <c r="F72" s="102">
        <v>42298</v>
      </c>
      <c r="G72" s="121">
        <f ca="1">(TODAY()-F72)/365</f>
        <v>0.66849315068493154</v>
      </c>
      <c r="H72" s="104" t="s">
        <v>808</v>
      </c>
      <c r="I72" s="115">
        <v>2</v>
      </c>
      <c r="J72" s="117" t="s">
        <v>292</v>
      </c>
    </row>
    <row r="73" spans="1:10" x14ac:dyDescent="0.2">
      <c r="A73" s="109">
        <v>610393</v>
      </c>
      <c r="B73" s="103" t="s">
        <v>368</v>
      </c>
      <c r="C73" s="103" t="s">
        <v>815</v>
      </c>
      <c r="D73" s="103" t="s">
        <v>834</v>
      </c>
      <c r="E73" s="103" t="s">
        <v>318</v>
      </c>
      <c r="F73" s="102">
        <v>37201</v>
      </c>
      <c r="G73" s="121">
        <f ca="1">(TODAY()-F73)/365</f>
        <v>14.632876712328768</v>
      </c>
      <c r="H73" s="104" t="s">
        <v>808</v>
      </c>
      <c r="I73" s="115">
        <v>1</v>
      </c>
      <c r="J73" s="117" t="s">
        <v>292</v>
      </c>
    </row>
    <row r="74" spans="1:10" x14ac:dyDescent="0.2">
      <c r="A74" s="109">
        <v>610832</v>
      </c>
      <c r="B74" s="103" t="s">
        <v>485</v>
      </c>
      <c r="C74" s="103" t="s">
        <v>291</v>
      </c>
      <c r="D74" s="103" t="s">
        <v>273</v>
      </c>
      <c r="E74" s="103" t="s">
        <v>516</v>
      </c>
      <c r="F74" s="102">
        <v>42255</v>
      </c>
      <c r="G74" s="121">
        <f ca="1">(TODAY()-F74)/365</f>
        <v>0.78630136986301369</v>
      </c>
      <c r="H74" s="104" t="s">
        <v>808</v>
      </c>
      <c r="I74" s="115">
        <v>3</v>
      </c>
      <c r="J74" s="117" t="s">
        <v>51</v>
      </c>
    </row>
    <row r="75" spans="1:10" x14ac:dyDescent="0.2">
      <c r="A75" s="109">
        <v>610588</v>
      </c>
      <c r="B75" s="103" t="s">
        <v>424</v>
      </c>
      <c r="C75" s="103" t="s">
        <v>635</v>
      </c>
      <c r="D75" s="103" t="s">
        <v>636</v>
      </c>
      <c r="E75" s="103" t="s">
        <v>516</v>
      </c>
      <c r="F75" s="102">
        <v>38820</v>
      </c>
      <c r="G75" s="121">
        <f ca="1">(TODAY()-F75)/365</f>
        <v>10.197260273972603</v>
      </c>
      <c r="H75" s="104" t="s">
        <v>808</v>
      </c>
      <c r="I75" s="115" t="s">
        <v>281</v>
      </c>
      <c r="J75" s="117" t="s">
        <v>454</v>
      </c>
    </row>
    <row r="76" spans="1:10" x14ac:dyDescent="0.2">
      <c r="A76" s="109">
        <v>610954</v>
      </c>
      <c r="B76" s="103" t="s">
        <v>784</v>
      </c>
      <c r="C76" s="103" t="s">
        <v>458</v>
      </c>
      <c r="D76" s="103" t="s">
        <v>846</v>
      </c>
      <c r="E76" s="103" t="s">
        <v>516</v>
      </c>
      <c r="F76" s="102">
        <v>42373</v>
      </c>
      <c r="G76" s="121">
        <f ca="1">(TODAY()-F76)/365</f>
        <v>0.46301369863013697</v>
      </c>
      <c r="H76" s="104" t="s">
        <v>808</v>
      </c>
      <c r="I76" s="115">
        <v>3</v>
      </c>
      <c r="J76" s="117" t="s">
        <v>454</v>
      </c>
    </row>
    <row r="77" spans="1:10" x14ac:dyDescent="0.2">
      <c r="A77" s="109">
        <v>610555</v>
      </c>
      <c r="B77" s="103" t="s">
        <v>425</v>
      </c>
      <c r="C77" s="103" t="s">
        <v>386</v>
      </c>
      <c r="D77" s="103" t="s">
        <v>267</v>
      </c>
      <c r="E77" s="103" t="s">
        <v>318</v>
      </c>
      <c r="F77" s="102">
        <v>38687</v>
      </c>
      <c r="G77" s="121">
        <f ca="1">(TODAY()-F77)/365</f>
        <v>10.561643835616438</v>
      </c>
      <c r="H77" s="104" t="s">
        <v>808</v>
      </c>
      <c r="I77" s="115">
        <v>3</v>
      </c>
      <c r="J77" s="117" t="s">
        <v>292</v>
      </c>
    </row>
    <row r="78" spans="1:10" x14ac:dyDescent="0.2">
      <c r="A78" s="109">
        <v>610929</v>
      </c>
      <c r="B78" s="103" t="s">
        <v>501</v>
      </c>
      <c r="C78" s="103" t="s">
        <v>449</v>
      </c>
      <c r="D78" s="103" t="s">
        <v>450</v>
      </c>
      <c r="E78" s="103" t="s">
        <v>516</v>
      </c>
      <c r="F78" s="102">
        <v>42354</v>
      </c>
      <c r="G78" s="121">
        <f ca="1">(TODAY()-F78)/365</f>
        <v>0.51506849315068493</v>
      </c>
      <c r="H78" s="104" t="s">
        <v>808</v>
      </c>
      <c r="I78" s="115">
        <v>2</v>
      </c>
      <c r="J78" s="117" t="s">
        <v>52</v>
      </c>
    </row>
    <row r="79" spans="1:10" x14ac:dyDescent="0.2">
      <c r="A79" s="109">
        <v>610839</v>
      </c>
      <c r="B79" s="103" t="s">
        <v>338</v>
      </c>
      <c r="C79" s="103" t="s">
        <v>286</v>
      </c>
      <c r="D79" s="103" t="s">
        <v>287</v>
      </c>
      <c r="E79" s="103" t="s">
        <v>516</v>
      </c>
      <c r="F79" s="102">
        <v>42282</v>
      </c>
      <c r="G79" s="121">
        <f ca="1">(TODAY()-F79)/365</f>
        <v>0.71232876712328763</v>
      </c>
      <c r="H79" s="104" t="s">
        <v>808</v>
      </c>
      <c r="I79" s="115">
        <v>1</v>
      </c>
      <c r="J79" s="117" t="s">
        <v>853</v>
      </c>
    </row>
    <row r="80" spans="1:10" x14ac:dyDescent="0.2">
      <c r="A80" s="109">
        <v>610876</v>
      </c>
      <c r="B80" s="103" t="s">
        <v>348</v>
      </c>
      <c r="C80" s="103" t="s">
        <v>258</v>
      </c>
      <c r="D80" s="103" t="s">
        <v>40</v>
      </c>
      <c r="E80" s="103" t="s">
        <v>318</v>
      </c>
      <c r="F80" s="102">
        <v>42298</v>
      </c>
      <c r="G80" s="121">
        <f ca="1">(TODAY()-F80)/365</f>
        <v>0.66849315068493154</v>
      </c>
      <c r="H80" s="104" t="s">
        <v>808</v>
      </c>
      <c r="I80" s="115">
        <v>2</v>
      </c>
      <c r="J80" s="117" t="s">
        <v>292</v>
      </c>
    </row>
    <row r="81" spans="1:10" x14ac:dyDescent="0.2">
      <c r="A81" s="109">
        <v>610571</v>
      </c>
      <c r="B81" s="103" t="s">
        <v>427</v>
      </c>
      <c r="C81" s="103" t="s">
        <v>387</v>
      </c>
      <c r="D81" s="103" t="s">
        <v>269</v>
      </c>
      <c r="E81" s="103" t="s">
        <v>516</v>
      </c>
      <c r="F81" s="102">
        <v>38727</v>
      </c>
      <c r="G81" s="121">
        <f ca="1">(TODAY()-F81)/365</f>
        <v>10.452054794520548</v>
      </c>
      <c r="H81" s="104" t="s">
        <v>808</v>
      </c>
      <c r="I81" s="115">
        <v>1</v>
      </c>
      <c r="J81" s="117" t="s">
        <v>51</v>
      </c>
    </row>
    <row r="82" spans="1:10" x14ac:dyDescent="0.2">
      <c r="A82" s="109">
        <v>610901</v>
      </c>
      <c r="B82" s="103" t="s">
        <v>359</v>
      </c>
      <c r="C82" s="103" t="s">
        <v>329</v>
      </c>
      <c r="D82" s="103" t="s">
        <v>330</v>
      </c>
      <c r="E82" s="103" t="s">
        <v>516</v>
      </c>
      <c r="F82" s="102">
        <v>42319</v>
      </c>
      <c r="G82" s="121">
        <f ca="1">(TODAY()-F82)/365</f>
        <v>0.61095890410958908</v>
      </c>
      <c r="H82" s="104" t="s">
        <v>808</v>
      </c>
      <c r="I82" s="115">
        <v>3</v>
      </c>
      <c r="J82" s="117" t="s">
        <v>311</v>
      </c>
    </row>
    <row r="83" spans="1:10" x14ac:dyDescent="0.2">
      <c r="A83" s="109">
        <v>610777</v>
      </c>
      <c r="B83" s="103" t="s">
        <v>428</v>
      </c>
      <c r="C83" s="103" t="s">
        <v>301</v>
      </c>
      <c r="D83" s="103" t="s">
        <v>270</v>
      </c>
      <c r="E83" s="103" t="s">
        <v>516</v>
      </c>
      <c r="F83" s="102">
        <v>41271</v>
      </c>
      <c r="G83" s="121">
        <f ca="1">(TODAY()-F83)/365</f>
        <v>3.4821917808219176</v>
      </c>
      <c r="H83" s="104" t="s">
        <v>808</v>
      </c>
      <c r="I83" s="115" t="s">
        <v>281</v>
      </c>
      <c r="J83" s="116" t="s">
        <v>850</v>
      </c>
    </row>
    <row r="84" spans="1:10" x14ac:dyDescent="0.2">
      <c r="A84" s="109">
        <v>610419</v>
      </c>
      <c r="B84" s="103" t="s">
        <v>429</v>
      </c>
      <c r="C84" s="103" t="s">
        <v>301</v>
      </c>
      <c r="D84" s="103" t="s">
        <v>271</v>
      </c>
      <c r="E84" s="103" t="s">
        <v>516</v>
      </c>
      <c r="F84" s="102">
        <v>35311</v>
      </c>
      <c r="G84" s="121">
        <f ca="1">(TODAY()-F84)/365</f>
        <v>19.81095890410959</v>
      </c>
      <c r="H84" s="104" t="s">
        <v>808</v>
      </c>
      <c r="I84" s="115">
        <v>2</v>
      </c>
      <c r="J84" s="117" t="s">
        <v>51</v>
      </c>
    </row>
    <row r="85" spans="1:10" x14ac:dyDescent="0.2">
      <c r="A85" s="109">
        <v>610879</v>
      </c>
      <c r="B85" s="103" t="s">
        <v>371</v>
      </c>
      <c r="C85" s="103" t="s">
        <v>307</v>
      </c>
      <c r="D85" s="103" t="s">
        <v>258</v>
      </c>
      <c r="E85" s="103" t="s">
        <v>516</v>
      </c>
      <c r="F85" s="102">
        <v>42303</v>
      </c>
      <c r="G85" s="121">
        <f ca="1">(TODAY()-F85)/365</f>
        <v>0.65479452054794518</v>
      </c>
      <c r="H85" s="104" t="s">
        <v>808</v>
      </c>
      <c r="I85" s="115">
        <v>1</v>
      </c>
      <c r="J85" s="117" t="s">
        <v>853</v>
      </c>
    </row>
    <row r="86" spans="1:10" x14ac:dyDescent="0.2">
      <c r="A86" s="109">
        <v>610952</v>
      </c>
      <c r="B86" s="103" t="s">
        <v>500</v>
      </c>
      <c r="C86" s="103" t="s">
        <v>447</v>
      </c>
      <c r="D86" s="103" t="s">
        <v>63</v>
      </c>
      <c r="E86" s="103" t="s">
        <v>516</v>
      </c>
      <c r="F86" s="102">
        <v>42354</v>
      </c>
      <c r="G86" s="121">
        <f ca="1">(TODAY()-F86)/365</f>
        <v>0.51506849315068493</v>
      </c>
      <c r="H86" s="104" t="s">
        <v>808</v>
      </c>
      <c r="I86" s="115">
        <v>2</v>
      </c>
      <c r="J86" s="117" t="s">
        <v>311</v>
      </c>
    </row>
    <row r="87" spans="1:10" x14ac:dyDescent="0.2">
      <c r="A87" s="109">
        <v>610982</v>
      </c>
      <c r="B87" s="103" t="s">
        <v>783</v>
      </c>
      <c r="C87" s="103" t="s">
        <v>541</v>
      </c>
      <c r="D87" s="103" t="s">
        <v>518</v>
      </c>
      <c r="E87" s="103" t="s">
        <v>516</v>
      </c>
      <c r="F87" s="102">
        <v>42457</v>
      </c>
      <c r="G87" s="121">
        <f ca="1">(TODAY()-F87)/365</f>
        <v>0.23287671232876711</v>
      </c>
      <c r="H87" s="104" t="s">
        <v>809</v>
      </c>
      <c r="I87" s="115">
        <v>2</v>
      </c>
      <c r="J87" s="117" t="s">
        <v>380</v>
      </c>
    </row>
    <row r="88" spans="1:10" x14ac:dyDescent="0.2">
      <c r="A88" s="109">
        <v>610892</v>
      </c>
      <c r="B88" s="103" t="s">
        <v>357</v>
      </c>
      <c r="C88" s="103" t="s">
        <v>327</v>
      </c>
      <c r="D88" s="103" t="s">
        <v>265</v>
      </c>
      <c r="E88" s="103" t="s">
        <v>318</v>
      </c>
      <c r="F88" s="102">
        <v>42319</v>
      </c>
      <c r="G88" s="121">
        <f ca="1">(TODAY()-F88)/365</f>
        <v>0.61095890410958908</v>
      </c>
      <c r="H88" s="104" t="s">
        <v>808</v>
      </c>
      <c r="I88" s="115">
        <v>2</v>
      </c>
      <c r="J88" s="117" t="s">
        <v>292</v>
      </c>
    </row>
    <row r="89" spans="1:10" x14ac:dyDescent="0.2">
      <c r="A89" s="109">
        <v>610815</v>
      </c>
      <c r="B89" s="103" t="s">
        <v>430</v>
      </c>
      <c r="C89" s="103" t="s">
        <v>327</v>
      </c>
      <c r="D89" s="103" t="s">
        <v>839</v>
      </c>
      <c r="E89" s="103" t="s">
        <v>318</v>
      </c>
      <c r="F89" s="102">
        <v>42170</v>
      </c>
      <c r="G89" s="121">
        <f ca="1">(TODAY()-F89)/365</f>
        <v>1.0191780821917809</v>
      </c>
      <c r="H89" s="104" t="s">
        <v>808</v>
      </c>
      <c r="I89" s="115">
        <v>3</v>
      </c>
      <c r="J89" s="117" t="s">
        <v>292</v>
      </c>
    </row>
    <row r="90" spans="1:10" x14ac:dyDescent="0.2">
      <c r="A90" s="109">
        <v>610891</v>
      </c>
      <c r="B90" s="103" t="s">
        <v>354</v>
      </c>
      <c r="C90" s="103" t="s">
        <v>323</v>
      </c>
      <c r="D90" s="103" t="s">
        <v>61</v>
      </c>
      <c r="E90" s="103" t="s">
        <v>516</v>
      </c>
      <c r="F90" s="102">
        <v>42319</v>
      </c>
      <c r="G90" s="121">
        <f ca="1">(TODAY()-F90)/365</f>
        <v>0.61095890410958908</v>
      </c>
      <c r="H90" s="104" t="s">
        <v>808</v>
      </c>
      <c r="I90" s="133">
        <v>3</v>
      </c>
      <c r="J90" s="117" t="s">
        <v>851</v>
      </c>
    </row>
    <row r="91" spans="1:10" x14ac:dyDescent="0.2">
      <c r="A91" s="109">
        <v>610894</v>
      </c>
      <c r="B91" s="103" t="s">
        <v>782</v>
      </c>
      <c r="C91" s="103" t="s">
        <v>645</v>
      </c>
      <c r="D91" s="103" t="s">
        <v>322</v>
      </c>
      <c r="E91" s="103" t="s">
        <v>516</v>
      </c>
      <c r="F91" s="102">
        <v>42319</v>
      </c>
      <c r="G91" s="121">
        <f ca="1">(TODAY()-F91)/365</f>
        <v>0.61095890410958908</v>
      </c>
      <c r="H91" s="104" t="s">
        <v>808</v>
      </c>
      <c r="I91" s="115">
        <v>2</v>
      </c>
      <c r="J91" s="117" t="s">
        <v>380</v>
      </c>
    </row>
    <row r="92" spans="1:10" x14ac:dyDescent="0.2">
      <c r="A92" s="109">
        <v>610863</v>
      </c>
      <c r="B92" s="103" t="s">
        <v>781</v>
      </c>
      <c r="C92" s="103" t="s">
        <v>310</v>
      </c>
      <c r="D92" s="103" t="s">
        <v>841</v>
      </c>
      <c r="E92" s="103" t="s">
        <v>516</v>
      </c>
      <c r="F92" s="102">
        <v>42303</v>
      </c>
      <c r="G92" s="121">
        <f ca="1">(TODAY()-F92)/365</f>
        <v>0.65479452054794518</v>
      </c>
      <c r="H92" s="104" t="s">
        <v>808</v>
      </c>
      <c r="I92" s="115">
        <v>1</v>
      </c>
      <c r="J92" s="129" t="s">
        <v>851</v>
      </c>
    </row>
    <row r="93" spans="1:10" x14ac:dyDescent="0.2">
      <c r="A93" s="109">
        <v>610994</v>
      </c>
      <c r="B93" s="103" t="s">
        <v>780</v>
      </c>
      <c r="C93" s="103" t="s">
        <v>274</v>
      </c>
      <c r="D93" s="103" t="s">
        <v>776</v>
      </c>
      <c r="E93" s="103" t="s">
        <v>516</v>
      </c>
      <c r="F93" s="102">
        <v>42513</v>
      </c>
      <c r="G93" s="121">
        <f ca="1">(TODAY()-F93)/365</f>
        <v>7.9452054794520555E-2</v>
      </c>
      <c r="H93" s="104" t="s">
        <v>809</v>
      </c>
      <c r="I93" s="115">
        <v>2</v>
      </c>
      <c r="J93" s="117" t="s">
        <v>851</v>
      </c>
    </row>
    <row r="94" spans="1:10" x14ac:dyDescent="0.2">
      <c r="A94" s="109">
        <v>610826</v>
      </c>
      <c r="B94" s="103" t="s">
        <v>336</v>
      </c>
      <c r="C94" s="103" t="s">
        <v>274</v>
      </c>
      <c r="D94" s="103" t="s">
        <v>275</v>
      </c>
      <c r="E94" s="103" t="s">
        <v>318</v>
      </c>
      <c r="F94" s="102">
        <v>42255</v>
      </c>
      <c r="G94" s="121">
        <f ca="1">(TODAY()-F94)/365</f>
        <v>0.78630136986301369</v>
      </c>
      <c r="H94" s="104" t="s">
        <v>808</v>
      </c>
      <c r="I94" s="115">
        <v>1</v>
      </c>
      <c r="J94" s="117" t="s">
        <v>292</v>
      </c>
    </row>
    <row r="95" spans="1:10" x14ac:dyDescent="0.2">
      <c r="A95" s="109">
        <v>610973</v>
      </c>
      <c r="B95" s="103" t="s">
        <v>533</v>
      </c>
      <c r="C95" s="103" t="s">
        <v>274</v>
      </c>
      <c r="D95" s="103" t="s">
        <v>521</v>
      </c>
      <c r="E95" s="103" t="s">
        <v>516</v>
      </c>
      <c r="F95" s="102">
        <v>42422</v>
      </c>
      <c r="G95" s="121">
        <f ca="1">(TODAY()-F95)/365</f>
        <v>0.32876712328767121</v>
      </c>
      <c r="H95" s="104" t="s">
        <v>808</v>
      </c>
      <c r="I95" s="115">
        <v>2</v>
      </c>
      <c r="J95" s="117" t="s">
        <v>851</v>
      </c>
    </row>
    <row r="96" spans="1:10" x14ac:dyDescent="0.2">
      <c r="A96" s="109">
        <v>610976</v>
      </c>
      <c r="B96" s="103" t="s">
        <v>534</v>
      </c>
      <c r="C96" s="103" t="s">
        <v>274</v>
      </c>
      <c r="D96" s="103" t="s">
        <v>525</v>
      </c>
      <c r="E96" s="103" t="s">
        <v>516</v>
      </c>
      <c r="F96" s="102">
        <v>42450</v>
      </c>
      <c r="G96" s="121">
        <f ca="1">(TODAY()-F96)/365</f>
        <v>0.25205479452054796</v>
      </c>
      <c r="H96" s="104" t="s">
        <v>808</v>
      </c>
      <c r="I96" s="115">
        <v>3</v>
      </c>
      <c r="J96" s="117" t="s">
        <v>48</v>
      </c>
    </row>
    <row r="97" spans="1:10" x14ac:dyDescent="0.2">
      <c r="A97" s="109">
        <v>610990</v>
      </c>
      <c r="B97" s="103" t="s">
        <v>779</v>
      </c>
      <c r="C97" s="103" t="s">
        <v>274</v>
      </c>
      <c r="D97" s="103" t="s">
        <v>768</v>
      </c>
      <c r="E97" s="103" t="s">
        <v>516</v>
      </c>
      <c r="F97" s="102">
        <v>42471</v>
      </c>
      <c r="G97" s="121">
        <f ca="1">(TODAY()-F97)/365</f>
        <v>0.19452054794520549</v>
      </c>
      <c r="H97" s="104" t="s">
        <v>809</v>
      </c>
      <c r="I97" s="115">
        <v>2</v>
      </c>
      <c r="J97" s="117" t="s">
        <v>850</v>
      </c>
    </row>
    <row r="98" spans="1:10" x14ac:dyDescent="0.2">
      <c r="A98" s="109">
        <v>610843</v>
      </c>
      <c r="B98" s="103" t="s">
        <v>434</v>
      </c>
      <c r="C98" s="103" t="s">
        <v>290</v>
      </c>
      <c r="D98" s="103" t="s">
        <v>268</v>
      </c>
      <c r="E98" s="103" t="s">
        <v>516</v>
      </c>
      <c r="F98" s="102">
        <v>42282</v>
      </c>
      <c r="G98" s="121">
        <f ca="1">(TODAY()-F98)/365</f>
        <v>0.71232876712328763</v>
      </c>
      <c r="H98" s="104" t="s">
        <v>808</v>
      </c>
      <c r="I98" s="115">
        <v>1</v>
      </c>
      <c r="J98" s="117" t="s">
        <v>853</v>
      </c>
    </row>
    <row r="99" spans="1:10" x14ac:dyDescent="0.2">
      <c r="A99" s="109">
        <v>610446</v>
      </c>
      <c r="B99" s="103" t="s">
        <v>431</v>
      </c>
      <c r="C99" s="103" t="s">
        <v>388</v>
      </c>
      <c r="D99" s="103" t="s">
        <v>518</v>
      </c>
      <c r="E99" s="103" t="s">
        <v>318</v>
      </c>
      <c r="F99" s="102">
        <v>37019</v>
      </c>
      <c r="G99" s="121">
        <f ca="1">(TODAY()-F99)/365</f>
        <v>15.131506849315068</v>
      </c>
      <c r="H99" s="104" t="s">
        <v>808</v>
      </c>
      <c r="I99" s="115">
        <v>2</v>
      </c>
      <c r="J99" s="117" t="s">
        <v>292</v>
      </c>
    </row>
    <row r="100" spans="1:10" x14ac:dyDescent="0.2">
      <c r="A100" s="109">
        <v>610844</v>
      </c>
      <c r="B100" s="103" t="s">
        <v>777</v>
      </c>
      <c r="C100" s="103" t="s">
        <v>823</v>
      </c>
      <c r="D100" s="103" t="s">
        <v>842</v>
      </c>
      <c r="E100" s="103" t="s">
        <v>680</v>
      </c>
      <c r="F100" s="102">
        <v>42303</v>
      </c>
      <c r="G100" s="121">
        <f ca="1">(TODAY()-F100)/365</f>
        <v>0.65479452054794518</v>
      </c>
      <c r="H100" s="104" t="s">
        <v>808</v>
      </c>
      <c r="I100" s="115">
        <v>2</v>
      </c>
      <c r="J100" s="117" t="s">
        <v>513</v>
      </c>
    </row>
    <row r="101" spans="1:10" x14ac:dyDescent="0.2">
      <c r="A101" s="109">
        <v>610457</v>
      </c>
      <c r="B101" s="103" t="s">
        <v>467</v>
      </c>
      <c r="C101" s="103" t="s">
        <v>288</v>
      </c>
      <c r="D101" s="103" t="s">
        <v>381</v>
      </c>
      <c r="E101" s="103" t="s">
        <v>516</v>
      </c>
      <c r="F101" s="102">
        <v>36976</v>
      </c>
      <c r="G101" s="121">
        <f ca="1">(TODAY()-F101)/365</f>
        <v>15.24931506849315</v>
      </c>
      <c r="H101" s="104" t="s">
        <v>808</v>
      </c>
      <c r="I101" s="115">
        <v>1</v>
      </c>
      <c r="J101" s="117" t="s">
        <v>311</v>
      </c>
    </row>
    <row r="102" spans="1:10" x14ac:dyDescent="0.2">
      <c r="A102" s="109">
        <v>610842</v>
      </c>
      <c r="B102" s="103" t="s">
        <v>339</v>
      </c>
      <c r="C102" s="103" t="s">
        <v>288</v>
      </c>
      <c r="D102" s="103" t="s">
        <v>289</v>
      </c>
      <c r="E102" s="103" t="s">
        <v>516</v>
      </c>
      <c r="F102" s="102">
        <v>42290</v>
      </c>
      <c r="G102" s="121">
        <f ca="1">(TODAY()-F102)/365</f>
        <v>0.69041095890410964</v>
      </c>
      <c r="H102" s="104" t="s">
        <v>808</v>
      </c>
      <c r="I102" s="115">
        <v>2</v>
      </c>
      <c r="J102" s="117" t="s">
        <v>51</v>
      </c>
    </row>
    <row r="103" spans="1:10" x14ac:dyDescent="0.2">
      <c r="A103" s="134"/>
      <c r="B103" s="134"/>
      <c r="C103" s="134"/>
      <c r="D103" s="134"/>
      <c r="E103" s="134"/>
      <c r="F103" s="135"/>
      <c r="G103" s="136"/>
      <c r="H103" s="137"/>
      <c r="I103" s="138"/>
      <c r="J103" s="134"/>
    </row>
  </sheetData>
  <sortState ref="A2:F275">
    <sortCondition ref="F2:F275"/>
  </sortState>
  <dataValidations count="3">
    <dataValidation type="list" errorStyle="warning" allowBlank="1" showErrorMessage="1" errorTitle="Union Status" error="Please enter Yes or No for union status." sqref="H2:H102">
      <formula1>UnionStatus</formula1>
    </dataValidation>
    <dataValidation type="list" errorStyle="warning" allowBlank="1" showErrorMessage="1" errorTitle="Shift" error="Please select appropriate shift." sqref="I2:I102">
      <formula1>Shift</formula1>
    </dataValidation>
    <dataValidation type="list" errorStyle="warning" allowBlank="1" showErrorMessage="1" errorTitle="Work Center" error="Please select valid work center." sqref="J2:J102">
      <formula1>WorkCenter</formula1>
    </dataValidation>
  </dataValidations>
  <pageMargins left="0.75" right="0.75" top="1" bottom="1" header="0.5" footer="0.5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B311"/>
  <sheetViews>
    <sheetView tabSelected="1"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D26" sqref="D26"/>
    </sheetView>
  </sheetViews>
  <sheetFormatPr defaultRowHeight="14.25" x14ac:dyDescent="0.2"/>
  <cols>
    <col min="1" max="1" width="17.625" customWidth="1"/>
    <col min="2" max="2" width="8.875" customWidth="1"/>
    <col min="3" max="3" width="19.625" customWidth="1"/>
    <col min="4" max="4" width="15.625" bestFit="1" customWidth="1"/>
    <col min="5" max="28" width="12.375" customWidth="1"/>
  </cols>
  <sheetData>
    <row r="1" spans="1:28" ht="14.25" customHeight="1" x14ac:dyDescent="0.2">
      <c r="A1" s="161" t="s">
        <v>862</v>
      </c>
      <c r="B1" s="161"/>
      <c r="C1" s="161"/>
      <c r="D1" s="161"/>
      <c r="E1" s="28">
        <v>0</v>
      </c>
      <c r="F1" t="s">
        <v>857</v>
      </c>
    </row>
    <row r="2" spans="1:28" ht="14.25" customHeight="1" x14ac:dyDescent="0.2">
      <c r="A2" s="161"/>
      <c r="B2" s="161"/>
      <c r="C2" s="161"/>
      <c r="D2" s="161"/>
      <c r="E2" s="123">
        <v>1</v>
      </c>
      <c r="F2" t="s">
        <v>858</v>
      </c>
    </row>
    <row r="3" spans="1:28" ht="14.25" customHeight="1" x14ac:dyDescent="0.2">
      <c r="A3" s="161"/>
      <c r="B3" s="161"/>
      <c r="C3" s="161"/>
      <c r="D3" s="161"/>
      <c r="E3" s="114">
        <v>2</v>
      </c>
      <c r="F3" t="s">
        <v>859</v>
      </c>
    </row>
    <row r="4" spans="1:28" ht="14.25" customHeight="1" x14ac:dyDescent="0.2">
      <c r="A4" s="161"/>
      <c r="B4" s="161"/>
      <c r="C4" s="161"/>
      <c r="D4" s="161"/>
      <c r="E4" s="124">
        <v>3</v>
      </c>
      <c r="F4" t="s">
        <v>860</v>
      </c>
    </row>
    <row r="5" spans="1:28" ht="14.25" customHeight="1" x14ac:dyDescent="0.2">
      <c r="A5" s="161"/>
      <c r="B5" s="161"/>
      <c r="C5" s="161"/>
      <c r="D5" s="161"/>
      <c r="E5" s="125">
        <v>4</v>
      </c>
      <c r="F5" t="s">
        <v>861</v>
      </c>
    </row>
    <row r="6" spans="1:28" ht="14.25" customHeight="1" x14ac:dyDescent="0.2">
      <c r="A6" s="161"/>
      <c r="B6" s="161"/>
      <c r="C6" s="161"/>
      <c r="D6" s="161"/>
    </row>
    <row r="7" spans="1:28" s="147" customFormat="1" ht="39.75" customHeight="1" x14ac:dyDescent="0.25">
      <c r="A7" s="126" t="s">
        <v>257</v>
      </c>
      <c r="B7" s="126" t="s">
        <v>53</v>
      </c>
      <c r="C7" s="126" t="s">
        <v>515</v>
      </c>
      <c r="D7" s="126" t="s">
        <v>514</v>
      </c>
      <c r="E7" s="144" t="s">
        <v>849</v>
      </c>
      <c r="F7" s="144" t="s">
        <v>863</v>
      </c>
      <c r="G7" s="144" t="s">
        <v>48</v>
      </c>
      <c r="H7" s="144" t="s">
        <v>311</v>
      </c>
      <c r="I7" s="144" t="s">
        <v>864</v>
      </c>
      <c r="J7" s="144" t="s">
        <v>865</v>
      </c>
      <c r="K7" s="144" t="s">
        <v>866</v>
      </c>
      <c r="L7" s="144" t="s">
        <v>304</v>
      </c>
      <c r="M7" s="144" t="s">
        <v>331</v>
      </c>
      <c r="N7" s="144" t="s">
        <v>867</v>
      </c>
      <c r="O7" s="144" t="s">
        <v>868</v>
      </c>
      <c r="P7" s="144" t="s">
        <v>869</v>
      </c>
      <c r="Q7" s="144" t="s">
        <v>870</v>
      </c>
      <c r="R7" s="144" t="s">
        <v>871</v>
      </c>
      <c r="S7" s="145" t="s">
        <v>454</v>
      </c>
      <c r="T7" s="145" t="s">
        <v>872</v>
      </c>
      <c r="U7" s="144" t="s">
        <v>873</v>
      </c>
      <c r="V7" s="144" t="s">
        <v>874</v>
      </c>
      <c r="W7" s="144" t="s">
        <v>875</v>
      </c>
      <c r="X7" s="144" t="s">
        <v>876</v>
      </c>
      <c r="Y7" s="144" t="s">
        <v>508</v>
      </c>
      <c r="Z7" s="144" t="s">
        <v>877</v>
      </c>
      <c r="AA7" s="144" t="s">
        <v>878</v>
      </c>
      <c r="AB7" s="146" t="s">
        <v>879</v>
      </c>
    </row>
    <row r="8" spans="1:28" s="179" customFormat="1" ht="15" customHeight="1" x14ac:dyDescent="0.2">
      <c r="A8" s="160" t="s">
        <v>536</v>
      </c>
      <c r="B8" s="150">
        <v>3</v>
      </c>
      <c r="C8" s="150" t="s">
        <v>318</v>
      </c>
      <c r="D8" s="150" t="s">
        <v>292</v>
      </c>
      <c r="E8" s="151">
        <v>0</v>
      </c>
      <c r="F8" s="151">
        <v>0</v>
      </c>
      <c r="G8" s="151">
        <v>0</v>
      </c>
      <c r="H8" s="151">
        <v>0</v>
      </c>
      <c r="I8" s="151">
        <v>0</v>
      </c>
      <c r="J8" s="151">
        <v>0</v>
      </c>
      <c r="K8" s="151">
        <v>0</v>
      </c>
      <c r="L8" s="151">
        <v>0</v>
      </c>
      <c r="M8" s="151">
        <v>0</v>
      </c>
      <c r="N8" s="151">
        <v>0</v>
      </c>
      <c r="O8" s="151">
        <v>0</v>
      </c>
      <c r="P8" s="151">
        <v>0</v>
      </c>
      <c r="Q8" s="151">
        <v>0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2">
        <v>0</v>
      </c>
    </row>
    <row r="9" spans="1:28" s="179" customFormat="1" ht="15" customHeight="1" x14ac:dyDescent="0.2">
      <c r="A9" s="160" t="s">
        <v>404</v>
      </c>
      <c r="B9" s="150" t="s">
        <v>281</v>
      </c>
      <c r="C9" s="150" t="s">
        <v>318</v>
      </c>
      <c r="D9" s="150" t="s">
        <v>292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2">
        <v>0</v>
      </c>
    </row>
    <row r="10" spans="1:28" s="179" customFormat="1" ht="15" customHeight="1" x14ac:dyDescent="0.2">
      <c r="A10" s="160" t="s">
        <v>405</v>
      </c>
      <c r="B10" s="150" t="s">
        <v>281</v>
      </c>
      <c r="C10" s="150" t="s">
        <v>516</v>
      </c>
      <c r="D10" s="150" t="s">
        <v>311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2">
        <v>0</v>
      </c>
    </row>
    <row r="11" spans="1:28" s="179" customFormat="1" ht="15" customHeight="1" x14ac:dyDescent="0.2">
      <c r="A11" s="160" t="s">
        <v>463</v>
      </c>
      <c r="B11" s="150">
        <v>1</v>
      </c>
      <c r="C11" s="150" t="s">
        <v>516</v>
      </c>
      <c r="D11" s="150" t="s">
        <v>48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2">
        <v>0</v>
      </c>
    </row>
    <row r="12" spans="1:28" s="179" customFormat="1" ht="15" customHeight="1" x14ac:dyDescent="0.2">
      <c r="A12" s="160" t="s">
        <v>406</v>
      </c>
      <c r="B12" s="150">
        <v>1</v>
      </c>
      <c r="C12" s="150" t="s">
        <v>516</v>
      </c>
      <c r="D12" s="150" t="s">
        <v>52</v>
      </c>
      <c r="E12" s="151">
        <v>0</v>
      </c>
      <c r="F12" s="151">
        <v>0</v>
      </c>
      <c r="G12" s="151">
        <v>0</v>
      </c>
      <c r="H12" s="151">
        <v>0</v>
      </c>
      <c r="I12" s="151">
        <v>0</v>
      </c>
      <c r="J12" s="151">
        <v>0</v>
      </c>
      <c r="K12" s="151">
        <v>0</v>
      </c>
      <c r="L12" s="151">
        <v>0</v>
      </c>
      <c r="M12" s="151">
        <v>0</v>
      </c>
      <c r="N12" s="151">
        <v>0</v>
      </c>
      <c r="O12" s="151">
        <v>0</v>
      </c>
      <c r="P12" s="151">
        <v>0</v>
      </c>
      <c r="Q12" s="151">
        <v>0</v>
      </c>
      <c r="R12" s="151">
        <v>0</v>
      </c>
      <c r="S12" s="151">
        <v>0</v>
      </c>
      <c r="T12" s="151">
        <v>0</v>
      </c>
      <c r="U12" s="151">
        <v>0</v>
      </c>
      <c r="V12" s="151">
        <v>0</v>
      </c>
      <c r="W12" s="151">
        <v>0</v>
      </c>
      <c r="X12" s="151">
        <v>0</v>
      </c>
      <c r="Y12" s="151">
        <v>0</v>
      </c>
      <c r="Z12" s="151">
        <v>0</v>
      </c>
      <c r="AA12" s="151">
        <v>0</v>
      </c>
      <c r="AB12" s="152">
        <v>0</v>
      </c>
    </row>
    <row r="13" spans="1:28" s="179" customFormat="1" ht="15" customHeight="1" x14ac:dyDescent="0.2">
      <c r="A13" s="149" t="s">
        <v>398</v>
      </c>
      <c r="B13" s="150">
        <v>1</v>
      </c>
      <c r="C13" s="150" t="s">
        <v>318</v>
      </c>
      <c r="D13" s="150" t="s">
        <v>292</v>
      </c>
      <c r="E13" s="151">
        <v>0</v>
      </c>
      <c r="F13" s="151">
        <v>0</v>
      </c>
      <c r="G13" s="151">
        <v>0</v>
      </c>
      <c r="H13" s="151">
        <v>0</v>
      </c>
      <c r="I13" s="151">
        <v>0</v>
      </c>
      <c r="J13" s="151">
        <v>0</v>
      </c>
      <c r="K13" s="151">
        <v>0</v>
      </c>
      <c r="L13" s="151">
        <v>0</v>
      </c>
      <c r="M13" s="151">
        <v>0</v>
      </c>
      <c r="N13" s="151">
        <v>0</v>
      </c>
      <c r="O13" s="151">
        <v>0</v>
      </c>
      <c r="P13" s="151">
        <v>0</v>
      </c>
      <c r="Q13" s="151">
        <v>0</v>
      </c>
      <c r="R13" s="151">
        <v>0</v>
      </c>
      <c r="S13" s="151">
        <v>0</v>
      </c>
      <c r="T13" s="151">
        <v>0</v>
      </c>
      <c r="U13" s="151">
        <v>0</v>
      </c>
      <c r="V13" s="151">
        <v>0</v>
      </c>
      <c r="W13" s="151">
        <v>0</v>
      </c>
      <c r="X13" s="151">
        <v>0</v>
      </c>
      <c r="Y13" s="151">
        <v>0</v>
      </c>
      <c r="Z13" s="151">
        <v>0</v>
      </c>
      <c r="AA13" s="151">
        <v>0</v>
      </c>
      <c r="AB13" s="152">
        <v>0</v>
      </c>
    </row>
    <row r="14" spans="1:28" s="179" customFormat="1" ht="15" customHeight="1" x14ac:dyDescent="0.2">
      <c r="A14" s="149" t="s">
        <v>376</v>
      </c>
      <c r="B14" s="150">
        <v>1</v>
      </c>
      <c r="C14" s="150" t="s">
        <v>318</v>
      </c>
      <c r="D14" s="150" t="s">
        <v>292</v>
      </c>
      <c r="E14" s="151">
        <v>0</v>
      </c>
      <c r="F14" s="151">
        <v>0</v>
      </c>
      <c r="G14" s="151">
        <v>0</v>
      </c>
      <c r="H14" s="151">
        <v>0</v>
      </c>
      <c r="I14" s="151">
        <v>0</v>
      </c>
      <c r="J14" s="151">
        <v>0</v>
      </c>
      <c r="K14" s="151">
        <v>0</v>
      </c>
      <c r="L14" s="151">
        <v>0</v>
      </c>
      <c r="M14" s="151">
        <v>0</v>
      </c>
      <c r="N14" s="151">
        <v>0</v>
      </c>
      <c r="O14" s="151">
        <v>0</v>
      </c>
      <c r="P14" s="151">
        <v>0</v>
      </c>
      <c r="Q14" s="151">
        <v>0</v>
      </c>
      <c r="R14" s="151">
        <v>0</v>
      </c>
      <c r="S14" s="151">
        <v>0</v>
      </c>
      <c r="T14" s="151">
        <v>0</v>
      </c>
      <c r="U14" s="151">
        <v>0</v>
      </c>
      <c r="V14" s="151">
        <v>0</v>
      </c>
      <c r="W14" s="151">
        <v>0</v>
      </c>
      <c r="X14" s="151">
        <v>0</v>
      </c>
      <c r="Y14" s="151">
        <v>0</v>
      </c>
      <c r="Z14" s="151">
        <v>0</v>
      </c>
      <c r="AA14" s="151">
        <v>0</v>
      </c>
      <c r="AB14" s="152">
        <v>0</v>
      </c>
    </row>
    <row r="15" spans="1:28" s="179" customFormat="1" ht="15" customHeight="1" x14ac:dyDescent="0.2">
      <c r="A15" s="149" t="s">
        <v>804</v>
      </c>
      <c r="B15" s="150">
        <v>3</v>
      </c>
      <c r="C15" s="150" t="s">
        <v>318</v>
      </c>
      <c r="D15" s="150" t="s">
        <v>292</v>
      </c>
      <c r="E15" s="151">
        <v>0</v>
      </c>
      <c r="F15" s="151">
        <v>0</v>
      </c>
      <c r="G15" s="151">
        <v>0</v>
      </c>
      <c r="H15" s="151">
        <v>0</v>
      </c>
      <c r="I15" s="151">
        <v>0</v>
      </c>
      <c r="J15" s="151">
        <v>0</v>
      </c>
      <c r="K15" s="151">
        <v>0</v>
      </c>
      <c r="L15" s="151">
        <v>0</v>
      </c>
      <c r="M15" s="151">
        <v>0</v>
      </c>
      <c r="N15" s="151">
        <v>0</v>
      </c>
      <c r="O15" s="151">
        <v>0</v>
      </c>
      <c r="P15" s="151">
        <v>0</v>
      </c>
      <c r="Q15" s="151">
        <v>0</v>
      </c>
      <c r="R15" s="151">
        <v>0</v>
      </c>
      <c r="S15" s="151">
        <v>0</v>
      </c>
      <c r="T15" s="151">
        <v>0</v>
      </c>
      <c r="U15" s="151">
        <v>0</v>
      </c>
      <c r="V15" s="151">
        <v>0</v>
      </c>
      <c r="W15" s="151">
        <v>0</v>
      </c>
      <c r="X15" s="151">
        <v>0</v>
      </c>
      <c r="Y15" s="151">
        <v>0</v>
      </c>
      <c r="Z15" s="151">
        <v>0</v>
      </c>
      <c r="AA15" s="151">
        <v>0</v>
      </c>
      <c r="AB15" s="152">
        <v>0</v>
      </c>
    </row>
    <row r="16" spans="1:28" s="179" customFormat="1" ht="15" customHeight="1" x14ac:dyDescent="0.2">
      <c r="A16" s="149" t="s">
        <v>803</v>
      </c>
      <c r="B16" s="150">
        <v>2</v>
      </c>
      <c r="C16" s="150" t="s">
        <v>318</v>
      </c>
      <c r="D16" s="150" t="s">
        <v>292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2">
        <v>0</v>
      </c>
    </row>
    <row r="17" spans="1:28" s="179" customFormat="1" ht="15" customHeight="1" x14ac:dyDescent="0.2">
      <c r="A17" s="160" t="s">
        <v>363</v>
      </c>
      <c r="B17" s="150">
        <v>2</v>
      </c>
      <c r="C17" s="150" t="s">
        <v>516</v>
      </c>
      <c r="D17" s="150" t="s">
        <v>52</v>
      </c>
      <c r="E17" s="151">
        <v>0</v>
      </c>
      <c r="F17" s="151">
        <v>0</v>
      </c>
      <c r="G17" s="151">
        <v>0</v>
      </c>
      <c r="H17" s="151">
        <v>0</v>
      </c>
      <c r="I17" s="153">
        <v>4</v>
      </c>
      <c r="J17" s="153">
        <v>4</v>
      </c>
      <c r="K17" s="153">
        <v>4</v>
      </c>
      <c r="L17" s="151">
        <v>0</v>
      </c>
      <c r="M17" s="151">
        <v>0</v>
      </c>
      <c r="N17" s="153">
        <v>4</v>
      </c>
      <c r="O17" s="154">
        <v>3</v>
      </c>
      <c r="P17" s="154">
        <v>3</v>
      </c>
      <c r="Q17" s="154">
        <v>3</v>
      </c>
      <c r="R17" s="151">
        <v>0</v>
      </c>
      <c r="S17" s="151">
        <v>0</v>
      </c>
      <c r="T17" s="151">
        <v>0</v>
      </c>
      <c r="U17" s="155">
        <v>2</v>
      </c>
      <c r="V17" s="151">
        <v>0</v>
      </c>
      <c r="W17" s="155">
        <v>2</v>
      </c>
      <c r="X17" s="155">
        <v>2</v>
      </c>
      <c r="Y17" s="156">
        <v>1</v>
      </c>
      <c r="Z17" s="151">
        <v>0</v>
      </c>
      <c r="AA17" s="151">
        <v>0</v>
      </c>
      <c r="AB17" s="152">
        <v>0</v>
      </c>
    </row>
    <row r="18" spans="1:28" s="179" customFormat="1" ht="15" customHeight="1" x14ac:dyDescent="0.2">
      <c r="A18" s="160" t="s">
        <v>492</v>
      </c>
      <c r="B18" s="150">
        <v>2</v>
      </c>
      <c r="C18" s="150" t="s">
        <v>516</v>
      </c>
      <c r="D18" s="150" t="s">
        <v>48</v>
      </c>
      <c r="E18" s="151">
        <v>0</v>
      </c>
      <c r="F18" s="154">
        <v>3</v>
      </c>
      <c r="G18" s="154">
        <v>3</v>
      </c>
      <c r="H18" s="151">
        <v>0</v>
      </c>
      <c r="I18" s="151">
        <v>0</v>
      </c>
      <c r="J18" s="151">
        <v>0</v>
      </c>
      <c r="K18" s="151">
        <v>0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51">
        <v>0</v>
      </c>
      <c r="R18" s="151">
        <v>0</v>
      </c>
      <c r="S18" s="151">
        <v>0</v>
      </c>
      <c r="T18" s="151">
        <v>0</v>
      </c>
      <c r="U18" s="151">
        <v>0</v>
      </c>
      <c r="V18" s="151">
        <v>0</v>
      </c>
      <c r="W18" s="151">
        <v>0</v>
      </c>
      <c r="X18" s="151">
        <v>0</v>
      </c>
      <c r="Y18" s="151">
        <v>0</v>
      </c>
      <c r="Z18" s="151">
        <v>0</v>
      </c>
      <c r="AA18" s="151">
        <v>0</v>
      </c>
      <c r="AB18" s="152">
        <v>0</v>
      </c>
    </row>
    <row r="19" spans="1:28" s="179" customFormat="1" ht="15" customHeight="1" x14ac:dyDescent="0.2">
      <c r="A19" s="160" t="s">
        <v>497</v>
      </c>
      <c r="B19" s="150">
        <v>3</v>
      </c>
      <c r="C19" s="150" t="s">
        <v>516</v>
      </c>
      <c r="D19" s="150" t="s">
        <v>52</v>
      </c>
      <c r="E19" s="151">
        <v>0</v>
      </c>
      <c r="F19" s="151">
        <v>0</v>
      </c>
      <c r="G19" s="151">
        <v>0</v>
      </c>
      <c r="H19" s="151">
        <v>0</v>
      </c>
      <c r="I19" s="151">
        <v>0</v>
      </c>
      <c r="J19" s="151">
        <v>0</v>
      </c>
      <c r="K19" s="151">
        <v>0</v>
      </c>
      <c r="L19" s="151">
        <v>0</v>
      </c>
      <c r="M19" s="151">
        <v>0</v>
      </c>
      <c r="N19" s="151">
        <v>0</v>
      </c>
      <c r="O19" s="151">
        <v>0</v>
      </c>
      <c r="P19" s="154">
        <v>3</v>
      </c>
      <c r="Q19" s="151">
        <v>0</v>
      </c>
      <c r="R19" s="154">
        <v>3</v>
      </c>
      <c r="S19" s="151">
        <v>0</v>
      </c>
      <c r="T19" s="151">
        <v>0</v>
      </c>
      <c r="U19" s="153">
        <v>4</v>
      </c>
      <c r="V19" s="151">
        <v>0</v>
      </c>
      <c r="W19" s="153">
        <v>4</v>
      </c>
      <c r="X19" s="153">
        <v>4</v>
      </c>
      <c r="Y19" s="153">
        <v>4</v>
      </c>
      <c r="Z19" s="151">
        <v>0</v>
      </c>
      <c r="AA19" s="155">
        <v>2</v>
      </c>
      <c r="AB19" s="157">
        <v>2</v>
      </c>
    </row>
    <row r="20" spans="1:28" s="179" customFormat="1" ht="15" customHeight="1" x14ac:dyDescent="0.2">
      <c r="A20" s="149" t="s">
        <v>79</v>
      </c>
      <c r="B20" s="150" t="s">
        <v>281</v>
      </c>
      <c r="C20" s="150" t="s">
        <v>778</v>
      </c>
      <c r="D20" s="150" t="s">
        <v>513</v>
      </c>
      <c r="E20" s="151">
        <v>0</v>
      </c>
      <c r="F20" s="151">
        <v>0</v>
      </c>
      <c r="G20" s="151">
        <v>0</v>
      </c>
      <c r="H20" s="151">
        <v>0</v>
      </c>
      <c r="I20" s="151">
        <v>0</v>
      </c>
      <c r="J20" s="151">
        <v>0</v>
      </c>
      <c r="K20" s="151">
        <v>0</v>
      </c>
      <c r="L20" s="151">
        <v>0</v>
      </c>
      <c r="M20" s="151">
        <v>0</v>
      </c>
      <c r="N20" s="151">
        <v>0</v>
      </c>
      <c r="O20" s="151">
        <v>0</v>
      </c>
      <c r="P20" s="151">
        <v>0</v>
      </c>
      <c r="Q20" s="151">
        <v>0</v>
      </c>
      <c r="R20" s="151">
        <v>0</v>
      </c>
      <c r="S20" s="151">
        <v>0</v>
      </c>
      <c r="T20" s="151">
        <v>0</v>
      </c>
      <c r="U20" s="151">
        <v>0</v>
      </c>
      <c r="V20" s="151">
        <v>0</v>
      </c>
      <c r="W20" s="151">
        <v>0</v>
      </c>
      <c r="X20" s="151">
        <v>0</v>
      </c>
      <c r="Y20" s="151">
        <v>0</v>
      </c>
      <c r="Z20" s="151">
        <v>0</v>
      </c>
      <c r="AA20" s="151">
        <v>0</v>
      </c>
      <c r="AB20" s="152">
        <v>0</v>
      </c>
    </row>
    <row r="21" spans="1:28" s="179" customFormat="1" ht="15" customHeight="1" x14ac:dyDescent="0.2">
      <c r="A21" s="149" t="s">
        <v>530</v>
      </c>
      <c r="B21" s="150">
        <v>2</v>
      </c>
      <c r="C21" s="150" t="s">
        <v>318</v>
      </c>
      <c r="D21" s="150" t="s">
        <v>292</v>
      </c>
      <c r="E21" s="151">
        <v>0</v>
      </c>
      <c r="F21" s="151">
        <v>0</v>
      </c>
      <c r="G21" s="151">
        <v>0</v>
      </c>
      <c r="H21" s="151">
        <v>0</v>
      </c>
      <c r="I21" s="151">
        <v>0</v>
      </c>
      <c r="J21" s="151">
        <v>0</v>
      </c>
      <c r="K21" s="151">
        <v>0</v>
      </c>
      <c r="L21" s="151">
        <v>0</v>
      </c>
      <c r="M21" s="151">
        <v>0</v>
      </c>
      <c r="N21" s="151">
        <v>0</v>
      </c>
      <c r="O21" s="151">
        <v>0</v>
      </c>
      <c r="P21" s="151">
        <v>0</v>
      </c>
      <c r="Q21" s="151">
        <v>0</v>
      </c>
      <c r="R21" s="151">
        <v>0</v>
      </c>
      <c r="S21" s="151">
        <v>0</v>
      </c>
      <c r="T21" s="151">
        <v>0</v>
      </c>
      <c r="U21" s="151">
        <v>0</v>
      </c>
      <c r="V21" s="151">
        <v>0</v>
      </c>
      <c r="W21" s="151">
        <v>0</v>
      </c>
      <c r="X21" s="151">
        <v>0</v>
      </c>
      <c r="Y21" s="151">
        <v>0</v>
      </c>
      <c r="Z21" s="151">
        <v>0</v>
      </c>
      <c r="AA21" s="151">
        <v>0</v>
      </c>
      <c r="AB21" s="152">
        <v>0</v>
      </c>
    </row>
    <row r="22" spans="1:28" s="179" customFormat="1" ht="15" customHeight="1" x14ac:dyDescent="0.2">
      <c r="A22" s="149" t="s">
        <v>802</v>
      </c>
      <c r="B22" s="150">
        <v>1</v>
      </c>
      <c r="C22" s="150" t="s">
        <v>516</v>
      </c>
      <c r="D22" s="150">
        <v>0</v>
      </c>
      <c r="E22" s="151">
        <v>0</v>
      </c>
      <c r="F22" s="151">
        <v>0</v>
      </c>
      <c r="G22" s="151">
        <v>0</v>
      </c>
      <c r="H22" s="151">
        <v>0</v>
      </c>
      <c r="I22" s="151">
        <v>0</v>
      </c>
      <c r="J22" s="151">
        <v>0</v>
      </c>
      <c r="K22" s="151">
        <v>0</v>
      </c>
      <c r="L22" s="151">
        <v>0</v>
      </c>
      <c r="M22" s="151">
        <v>0</v>
      </c>
      <c r="N22" s="151">
        <v>0</v>
      </c>
      <c r="O22" s="151">
        <v>0</v>
      </c>
      <c r="P22" s="151">
        <v>0</v>
      </c>
      <c r="Q22" s="151">
        <v>0</v>
      </c>
      <c r="R22" s="151">
        <v>0</v>
      </c>
      <c r="S22" s="151">
        <v>0</v>
      </c>
      <c r="T22" s="151">
        <v>0</v>
      </c>
      <c r="U22" s="151">
        <v>0</v>
      </c>
      <c r="V22" s="151">
        <v>0</v>
      </c>
      <c r="W22" s="151">
        <v>0</v>
      </c>
      <c r="X22" s="151">
        <v>0</v>
      </c>
      <c r="Y22" s="151">
        <v>0</v>
      </c>
      <c r="Z22" s="151">
        <v>0</v>
      </c>
      <c r="AA22" s="151">
        <v>0</v>
      </c>
      <c r="AB22" s="152">
        <v>0</v>
      </c>
    </row>
    <row r="23" spans="1:28" s="179" customFormat="1" ht="15" customHeight="1" x14ac:dyDescent="0.2">
      <c r="A23" s="160" t="s">
        <v>801</v>
      </c>
      <c r="B23" s="150">
        <v>3</v>
      </c>
      <c r="C23" s="150" t="s">
        <v>516</v>
      </c>
      <c r="D23" s="150" t="s">
        <v>850</v>
      </c>
      <c r="E23" s="151">
        <v>0</v>
      </c>
      <c r="F23" s="151">
        <v>0</v>
      </c>
      <c r="G23" s="151">
        <v>0</v>
      </c>
      <c r="H23" s="151">
        <v>0</v>
      </c>
      <c r="I23" s="153">
        <v>4</v>
      </c>
      <c r="J23" s="153">
        <v>4</v>
      </c>
      <c r="K23" s="153">
        <v>4</v>
      </c>
      <c r="L23" s="151">
        <v>0</v>
      </c>
      <c r="M23" s="151">
        <v>0</v>
      </c>
      <c r="N23" s="151">
        <v>0</v>
      </c>
      <c r="O23" s="153">
        <v>4</v>
      </c>
      <c r="P23" s="154">
        <v>3</v>
      </c>
      <c r="Q23" s="154">
        <v>3</v>
      </c>
      <c r="R23" s="154">
        <v>3</v>
      </c>
      <c r="S23" s="151">
        <v>0</v>
      </c>
      <c r="T23" s="151">
        <v>0</v>
      </c>
      <c r="U23" s="151">
        <v>0</v>
      </c>
      <c r="V23" s="151">
        <v>0</v>
      </c>
      <c r="W23" s="151">
        <v>0</v>
      </c>
      <c r="X23" s="151">
        <v>0</v>
      </c>
      <c r="Y23" s="151">
        <v>0</v>
      </c>
      <c r="Z23" s="151">
        <v>0</v>
      </c>
      <c r="AA23" s="151">
        <v>0</v>
      </c>
      <c r="AB23" s="152">
        <v>0</v>
      </c>
    </row>
    <row r="24" spans="1:28" s="179" customFormat="1" ht="15" customHeight="1" x14ac:dyDescent="0.2">
      <c r="A24" s="160" t="s">
        <v>529</v>
      </c>
      <c r="B24" s="150">
        <v>3</v>
      </c>
      <c r="C24" s="150" t="s">
        <v>516</v>
      </c>
      <c r="D24" s="150" t="s">
        <v>52</v>
      </c>
      <c r="E24" s="151">
        <v>0</v>
      </c>
      <c r="F24" s="151">
        <v>0</v>
      </c>
      <c r="G24" s="151">
        <v>0</v>
      </c>
      <c r="H24" s="151">
        <v>0</v>
      </c>
      <c r="I24" s="151">
        <v>0</v>
      </c>
      <c r="J24" s="151">
        <v>0</v>
      </c>
      <c r="K24" s="151">
        <v>0</v>
      </c>
      <c r="L24" s="151">
        <v>0</v>
      </c>
      <c r="M24" s="151">
        <v>0</v>
      </c>
      <c r="N24" s="151">
        <v>0</v>
      </c>
      <c r="O24" s="151">
        <v>0</v>
      </c>
      <c r="P24" s="154">
        <v>3</v>
      </c>
      <c r="Q24" s="151">
        <v>0</v>
      </c>
      <c r="R24" s="154">
        <v>3</v>
      </c>
      <c r="S24" s="151">
        <v>0</v>
      </c>
      <c r="T24" s="151">
        <v>0</v>
      </c>
      <c r="U24" s="153">
        <v>4</v>
      </c>
      <c r="V24" s="154">
        <v>3</v>
      </c>
      <c r="W24" s="153">
        <v>4</v>
      </c>
      <c r="X24" s="153">
        <v>4</v>
      </c>
      <c r="Y24" s="154">
        <v>3</v>
      </c>
      <c r="Z24" s="151">
        <v>0</v>
      </c>
      <c r="AA24" s="151">
        <v>0</v>
      </c>
      <c r="AB24" s="157">
        <v>2</v>
      </c>
    </row>
    <row r="25" spans="1:28" s="179" customFormat="1" ht="15" customHeight="1" x14ac:dyDescent="0.2">
      <c r="A25" s="160" t="s">
        <v>333</v>
      </c>
      <c r="B25" s="150">
        <v>1</v>
      </c>
      <c r="C25" s="150" t="s">
        <v>516</v>
      </c>
      <c r="D25" s="150" t="s">
        <v>52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2">
        <v>0</v>
      </c>
    </row>
    <row r="26" spans="1:28" s="179" customFormat="1" ht="15" customHeight="1" x14ac:dyDescent="0.2">
      <c r="A26" s="149" t="s">
        <v>482</v>
      </c>
      <c r="B26" s="150">
        <v>1</v>
      </c>
      <c r="C26" s="150" t="s">
        <v>318</v>
      </c>
      <c r="D26" s="150" t="s">
        <v>292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1">
        <v>0</v>
      </c>
      <c r="R26" s="151">
        <v>0</v>
      </c>
      <c r="S26" s="151">
        <v>0</v>
      </c>
      <c r="T26" s="151">
        <v>0</v>
      </c>
      <c r="U26" s="151">
        <v>0</v>
      </c>
      <c r="V26" s="151">
        <v>0</v>
      </c>
      <c r="W26" s="151">
        <v>0</v>
      </c>
      <c r="X26" s="151">
        <v>0</v>
      </c>
      <c r="Y26" s="151">
        <v>0</v>
      </c>
      <c r="Z26" s="151">
        <v>0</v>
      </c>
      <c r="AA26" s="151">
        <v>0</v>
      </c>
      <c r="AB26" s="152">
        <v>0</v>
      </c>
    </row>
    <row r="27" spans="1:28" s="179" customFormat="1" ht="15" customHeight="1" x14ac:dyDescent="0.2">
      <c r="A27" s="149" t="s">
        <v>407</v>
      </c>
      <c r="B27" s="150">
        <v>3</v>
      </c>
      <c r="C27" s="150" t="s">
        <v>517</v>
      </c>
      <c r="D27" s="150" t="s">
        <v>444</v>
      </c>
      <c r="E27" s="151">
        <v>0</v>
      </c>
      <c r="F27" s="151">
        <v>0</v>
      </c>
      <c r="G27" s="151">
        <v>0</v>
      </c>
      <c r="H27" s="151">
        <v>0</v>
      </c>
      <c r="I27" s="151">
        <v>0</v>
      </c>
      <c r="J27" s="151">
        <v>0</v>
      </c>
      <c r="K27" s="151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51">
        <v>0</v>
      </c>
      <c r="R27" s="151">
        <v>0</v>
      </c>
      <c r="S27" s="151">
        <v>0</v>
      </c>
      <c r="T27" s="151">
        <v>0</v>
      </c>
      <c r="U27" s="151">
        <v>0</v>
      </c>
      <c r="V27" s="151">
        <v>0</v>
      </c>
      <c r="W27" s="151">
        <v>0</v>
      </c>
      <c r="X27" s="151">
        <v>0</v>
      </c>
      <c r="Y27" s="151">
        <v>0</v>
      </c>
      <c r="Z27" s="151">
        <v>0</v>
      </c>
      <c r="AA27" s="151">
        <v>0</v>
      </c>
      <c r="AB27" s="152">
        <v>0</v>
      </c>
    </row>
    <row r="28" spans="1:28" s="179" customFormat="1" ht="15" customHeight="1" x14ac:dyDescent="0.2">
      <c r="A28" s="160" t="s">
        <v>800</v>
      </c>
      <c r="B28" s="150">
        <v>2</v>
      </c>
      <c r="C28" s="150" t="s">
        <v>516</v>
      </c>
      <c r="D28" s="150" t="s">
        <v>850</v>
      </c>
      <c r="E28" s="151">
        <v>0</v>
      </c>
      <c r="F28" s="151">
        <v>0</v>
      </c>
      <c r="G28" s="151">
        <v>0</v>
      </c>
      <c r="H28" s="151">
        <v>0</v>
      </c>
      <c r="I28" s="153">
        <v>4</v>
      </c>
      <c r="J28" s="153">
        <v>4</v>
      </c>
      <c r="K28" s="153">
        <v>4</v>
      </c>
      <c r="L28" s="151">
        <v>0</v>
      </c>
      <c r="M28" s="151">
        <v>0</v>
      </c>
      <c r="N28" s="153">
        <v>4</v>
      </c>
      <c r="O28" s="154">
        <v>3</v>
      </c>
      <c r="P28" s="154">
        <v>3</v>
      </c>
      <c r="Q28" s="154">
        <v>3</v>
      </c>
      <c r="R28" s="151">
        <v>0</v>
      </c>
      <c r="S28" s="151">
        <v>0</v>
      </c>
      <c r="T28" s="151">
        <v>0</v>
      </c>
      <c r="U28" s="151">
        <v>0</v>
      </c>
      <c r="V28" s="151">
        <v>0</v>
      </c>
      <c r="W28" s="151">
        <v>0</v>
      </c>
      <c r="X28" s="151">
        <v>0</v>
      </c>
      <c r="Y28" s="151">
        <v>0</v>
      </c>
      <c r="Z28" s="151">
        <v>0</v>
      </c>
      <c r="AA28" s="151">
        <v>0</v>
      </c>
      <c r="AB28" s="152">
        <v>0</v>
      </c>
    </row>
    <row r="29" spans="1:28" s="179" customFormat="1" ht="15" customHeight="1" x14ac:dyDescent="0.2">
      <c r="A29" s="160" t="s">
        <v>483</v>
      </c>
      <c r="B29" s="150">
        <v>1</v>
      </c>
      <c r="C29" s="150" t="s">
        <v>516</v>
      </c>
      <c r="D29" s="150" t="s">
        <v>304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2">
        <v>0</v>
      </c>
    </row>
    <row r="30" spans="1:28" s="179" customFormat="1" ht="15" customHeight="1" x14ac:dyDescent="0.2">
      <c r="A30" s="160" t="s">
        <v>799</v>
      </c>
      <c r="B30" s="150">
        <v>3</v>
      </c>
      <c r="C30" s="150" t="s">
        <v>516</v>
      </c>
      <c r="D30" s="150" t="s">
        <v>851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5">
        <v>2</v>
      </c>
      <c r="L30" s="155">
        <v>2</v>
      </c>
      <c r="M30" s="155">
        <v>2</v>
      </c>
      <c r="N30" s="154">
        <v>3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2">
        <v>0</v>
      </c>
    </row>
    <row r="31" spans="1:28" s="179" customFormat="1" ht="15" customHeight="1" x14ac:dyDescent="0.2">
      <c r="A31" s="149" t="s">
        <v>408</v>
      </c>
      <c r="B31" s="150">
        <v>1</v>
      </c>
      <c r="C31" s="150" t="s">
        <v>516</v>
      </c>
      <c r="D31" s="150" t="s">
        <v>292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2">
        <v>0</v>
      </c>
    </row>
    <row r="32" spans="1:28" s="179" customFormat="1" ht="15" customHeight="1" x14ac:dyDescent="0.2">
      <c r="A32" s="160" t="s">
        <v>535</v>
      </c>
      <c r="B32" s="150">
        <v>2</v>
      </c>
      <c r="C32" s="150" t="s">
        <v>516</v>
      </c>
      <c r="D32" s="150" t="s">
        <v>304</v>
      </c>
      <c r="E32" s="151">
        <v>0</v>
      </c>
      <c r="F32" s="151">
        <v>0</v>
      </c>
      <c r="G32" s="151">
        <v>0</v>
      </c>
      <c r="H32" s="151">
        <v>0</v>
      </c>
      <c r="I32" s="151">
        <v>0</v>
      </c>
      <c r="J32" s="151">
        <v>0</v>
      </c>
      <c r="K32" s="151">
        <v>0</v>
      </c>
      <c r="L32" s="154">
        <v>3</v>
      </c>
      <c r="M32" s="154">
        <v>3</v>
      </c>
      <c r="N32" s="151">
        <v>0</v>
      </c>
      <c r="O32" s="154">
        <v>3</v>
      </c>
      <c r="P32" s="154">
        <v>3</v>
      </c>
      <c r="Q32" s="155">
        <v>2</v>
      </c>
      <c r="R32" s="151">
        <v>0</v>
      </c>
      <c r="S32" s="151">
        <v>0</v>
      </c>
      <c r="T32" s="151">
        <v>0</v>
      </c>
      <c r="U32" s="151">
        <v>0</v>
      </c>
      <c r="V32" s="151">
        <v>0</v>
      </c>
      <c r="W32" s="151">
        <v>0</v>
      </c>
      <c r="X32" s="151">
        <v>0</v>
      </c>
      <c r="Y32" s="151">
        <v>0</v>
      </c>
      <c r="Z32" s="151">
        <v>0</v>
      </c>
      <c r="AA32" s="151">
        <v>0</v>
      </c>
      <c r="AB32" s="152">
        <v>0</v>
      </c>
    </row>
    <row r="33" spans="1:28" s="179" customFormat="1" ht="15" customHeight="1" x14ac:dyDescent="0.2">
      <c r="A33" s="149" t="s">
        <v>409</v>
      </c>
      <c r="B33" s="150">
        <v>1</v>
      </c>
      <c r="C33" s="150" t="s">
        <v>517</v>
      </c>
      <c r="D33" s="150" t="s">
        <v>444</v>
      </c>
      <c r="E33" s="151">
        <v>0</v>
      </c>
      <c r="F33" s="151">
        <v>0</v>
      </c>
      <c r="G33" s="151">
        <v>0</v>
      </c>
      <c r="H33" s="151">
        <v>0</v>
      </c>
      <c r="I33" s="151">
        <v>0</v>
      </c>
      <c r="J33" s="151">
        <v>0</v>
      </c>
      <c r="K33" s="151">
        <v>0</v>
      </c>
      <c r="L33" s="151">
        <v>0</v>
      </c>
      <c r="M33" s="151">
        <v>0</v>
      </c>
      <c r="N33" s="151">
        <v>0</v>
      </c>
      <c r="O33" s="151">
        <v>0</v>
      </c>
      <c r="P33" s="151">
        <v>0</v>
      </c>
      <c r="Q33" s="151">
        <v>0</v>
      </c>
      <c r="R33" s="151">
        <v>0</v>
      </c>
      <c r="S33" s="151">
        <v>0</v>
      </c>
      <c r="T33" s="151">
        <v>0</v>
      </c>
      <c r="U33" s="151">
        <v>0</v>
      </c>
      <c r="V33" s="151">
        <v>0</v>
      </c>
      <c r="W33" s="151">
        <v>0</v>
      </c>
      <c r="X33" s="151">
        <v>0</v>
      </c>
      <c r="Y33" s="151">
        <v>0</v>
      </c>
      <c r="Z33" s="151">
        <v>0</v>
      </c>
      <c r="AA33" s="151">
        <v>0</v>
      </c>
      <c r="AB33" s="152">
        <v>0</v>
      </c>
    </row>
    <row r="34" spans="1:28" s="179" customFormat="1" ht="15" customHeight="1" x14ac:dyDescent="0.2">
      <c r="A34" s="160" t="s">
        <v>340</v>
      </c>
      <c r="B34" s="150">
        <v>1</v>
      </c>
      <c r="C34" s="150" t="s">
        <v>516</v>
      </c>
      <c r="D34" s="150" t="s">
        <v>850</v>
      </c>
      <c r="E34" s="151">
        <v>0</v>
      </c>
      <c r="F34" s="151">
        <v>0</v>
      </c>
      <c r="G34" s="151">
        <v>0</v>
      </c>
      <c r="H34" s="151">
        <v>0</v>
      </c>
      <c r="I34" s="151">
        <v>0</v>
      </c>
      <c r="J34" s="151">
        <v>0</v>
      </c>
      <c r="K34" s="151">
        <v>0</v>
      </c>
      <c r="L34" s="151">
        <v>0</v>
      </c>
      <c r="M34" s="151">
        <v>0</v>
      </c>
      <c r="N34" s="151">
        <v>0</v>
      </c>
      <c r="O34" s="151">
        <v>0</v>
      </c>
      <c r="P34" s="151">
        <v>0</v>
      </c>
      <c r="Q34" s="151">
        <v>0</v>
      </c>
      <c r="R34" s="151">
        <v>0</v>
      </c>
      <c r="S34" s="151">
        <v>0</v>
      </c>
      <c r="T34" s="151">
        <v>0</v>
      </c>
      <c r="U34" s="151">
        <v>0</v>
      </c>
      <c r="V34" s="151">
        <v>0</v>
      </c>
      <c r="W34" s="151">
        <v>0</v>
      </c>
      <c r="X34" s="151">
        <v>0</v>
      </c>
      <c r="Y34" s="151">
        <v>0</v>
      </c>
      <c r="Z34" s="151">
        <v>0</v>
      </c>
      <c r="AA34" s="151">
        <v>0</v>
      </c>
      <c r="AB34" s="152">
        <v>0</v>
      </c>
    </row>
    <row r="35" spans="1:28" s="179" customFormat="1" ht="15" customHeight="1" x14ac:dyDescent="0.2">
      <c r="A35" s="149" t="s">
        <v>337</v>
      </c>
      <c r="B35" s="150">
        <v>3</v>
      </c>
      <c r="C35" s="150" t="s">
        <v>318</v>
      </c>
      <c r="D35" s="150" t="s">
        <v>292</v>
      </c>
      <c r="E35" s="151">
        <v>0</v>
      </c>
      <c r="F35" s="151">
        <v>0</v>
      </c>
      <c r="G35" s="151">
        <v>0</v>
      </c>
      <c r="H35" s="151">
        <v>0</v>
      </c>
      <c r="I35" s="151">
        <v>0</v>
      </c>
      <c r="J35" s="151">
        <v>0</v>
      </c>
      <c r="K35" s="151">
        <v>0</v>
      </c>
      <c r="L35" s="151">
        <v>0</v>
      </c>
      <c r="M35" s="151">
        <v>0</v>
      </c>
      <c r="N35" s="151">
        <v>0</v>
      </c>
      <c r="O35" s="151">
        <v>0</v>
      </c>
      <c r="P35" s="151">
        <v>0</v>
      </c>
      <c r="Q35" s="151">
        <v>0</v>
      </c>
      <c r="R35" s="151">
        <v>0</v>
      </c>
      <c r="S35" s="151">
        <v>0</v>
      </c>
      <c r="T35" s="151">
        <v>0</v>
      </c>
      <c r="U35" s="151">
        <v>0</v>
      </c>
      <c r="V35" s="151">
        <v>0</v>
      </c>
      <c r="W35" s="151">
        <v>0</v>
      </c>
      <c r="X35" s="151">
        <v>0</v>
      </c>
      <c r="Y35" s="151">
        <v>0</v>
      </c>
      <c r="Z35" s="151">
        <v>0</v>
      </c>
      <c r="AA35" s="151">
        <v>0</v>
      </c>
      <c r="AB35" s="152">
        <v>0</v>
      </c>
    </row>
    <row r="36" spans="1:28" s="179" customFormat="1" ht="15" customHeight="1" x14ac:dyDescent="0.2">
      <c r="A36" s="160" t="s">
        <v>798</v>
      </c>
      <c r="B36" s="150">
        <v>2</v>
      </c>
      <c r="C36" s="150" t="s">
        <v>516</v>
      </c>
      <c r="D36" s="150" t="s">
        <v>454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2">
        <v>0</v>
      </c>
    </row>
    <row r="37" spans="1:28" s="179" customFormat="1" ht="15" customHeight="1" x14ac:dyDescent="0.2">
      <c r="A37" s="149" t="s">
        <v>797</v>
      </c>
      <c r="B37" s="150">
        <v>2</v>
      </c>
      <c r="C37" s="150" t="s">
        <v>516</v>
      </c>
      <c r="D37" s="150" t="s">
        <v>51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4">
        <v>3</v>
      </c>
      <c r="P37" s="154">
        <v>3</v>
      </c>
      <c r="Q37" s="154">
        <v>3</v>
      </c>
      <c r="R37" s="151">
        <v>0</v>
      </c>
      <c r="S37" s="154">
        <v>3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2">
        <v>0</v>
      </c>
    </row>
    <row r="38" spans="1:28" s="179" customFormat="1" ht="15" customHeight="1" x14ac:dyDescent="0.2">
      <c r="A38" s="160" t="s">
        <v>881</v>
      </c>
      <c r="B38" s="150">
        <v>3</v>
      </c>
      <c r="C38" s="150" t="s">
        <v>516</v>
      </c>
      <c r="D38" s="150" t="s">
        <v>304</v>
      </c>
      <c r="E38" s="151">
        <v>0</v>
      </c>
      <c r="F38" s="151">
        <v>0</v>
      </c>
      <c r="G38" s="151">
        <v>0</v>
      </c>
      <c r="H38" s="151">
        <v>0</v>
      </c>
      <c r="I38" s="151">
        <v>0</v>
      </c>
      <c r="J38" s="151">
        <v>0</v>
      </c>
      <c r="K38" s="151">
        <v>0</v>
      </c>
      <c r="L38" s="153">
        <v>4</v>
      </c>
      <c r="M38" s="153">
        <v>4</v>
      </c>
      <c r="N38" s="151">
        <v>0</v>
      </c>
      <c r="O38" s="154">
        <v>3</v>
      </c>
      <c r="P38" s="154">
        <v>3</v>
      </c>
      <c r="Q38" s="151">
        <v>0</v>
      </c>
      <c r="R38" s="151">
        <v>0</v>
      </c>
      <c r="S38" s="151">
        <v>0</v>
      </c>
      <c r="T38" s="151">
        <v>0</v>
      </c>
      <c r="U38" s="151">
        <v>0</v>
      </c>
      <c r="V38" s="151">
        <v>0</v>
      </c>
      <c r="W38" s="151">
        <v>0</v>
      </c>
      <c r="X38" s="151">
        <v>0</v>
      </c>
      <c r="Y38" s="151">
        <v>0</v>
      </c>
      <c r="Z38" s="151">
        <v>0</v>
      </c>
      <c r="AA38" s="151">
        <v>0</v>
      </c>
      <c r="AB38" s="152">
        <v>0</v>
      </c>
    </row>
    <row r="39" spans="1:28" s="179" customFormat="1" ht="15" customHeight="1" x14ac:dyDescent="0.2">
      <c r="A39" s="160" t="s">
        <v>796</v>
      </c>
      <c r="B39" s="150">
        <v>1</v>
      </c>
      <c r="C39" s="150" t="s">
        <v>516</v>
      </c>
      <c r="D39" s="150" t="s">
        <v>851</v>
      </c>
      <c r="E39" s="151">
        <v>0</v>
      </c>
      <c r="F39" s="151">
        <v>0</v>
      </c>
      <c r="G39" s="151">
        <v>0</v>
      </c>
      <c r="H39" s="151">
        <v>0</v>
      </c>
      <c r="I39" s="151">
        <v>0</v>
      </c>
      <c r="J39" s="151">
        <v>0</v>
      </c>
      <c r="K39" s="151">
        <v>0</v>
      </c>
      <c r="L39" s="151">
        <v>0</v>
      </c>
      <c r="M39" s="151">
        <v>0</v>
      </c>
      <c r="N39" s="151">
        <v>0</v>
      </c>
      <c r="O39" s="151">
        <v>0</v>
      </c>
      <c r="P39" s="151">
        <v>0</v>
      </c>
      <c r="Q39" s="151">
        <v>0</v>
      </c>
      <c r="R39" s="151">
        <v>0</v>
      </c>
      <c r="S39" s="151">
        <v>0</v>
      </c>
      <c r="T39" s="151">
        <v>0</v>
      </c>
      <c r="U39" s="151">
        <v>0</v>
      </c>
      <c r="V39" s="151">
        <v>0</v>
      </c>
      <c r="W39" s="151">
        <v>0</v>
      </c>
      <c r="X39" s="151">
        <v>0</v>
      </c>
      <c r="Y39" s="151">
        <v>0</v>
      </c>
      <c r="Z39" s="151">
        <v>0</v>
      </c>
      <c r="AA39" s="151">
        <v>0</v>
      </c>
      <c r="AB39" s="152">
        <v>0</v>
      </c>
    </row>
    <row r="40" spans="1:28" s="179" customFormat="1" ht="15" customHeight="1" x14ac:dyDescent="0.2">
      <c r="A40" s="149" t="s">
        <v>80</v>
      </c>
      <c r="B40" s="150">
        <v>1</v>
      </c>
      <c r="C40" s="150" t="s">
        <v>778</v>
      </c>
      <c r="D40" s="150" t="s">
        <v>513</v>
      </c>
      <c r="E40" s="151">
        <v>0</v>
      </c>
      <c r="F40" s="151">
        <v>0</v>
      </c>
      <c r="G40" s="151">
        <v>0</v>
      </c>
      <c r="H40" s="151">
        <v>0</v>
      </c>
      <c r="I40" s="151">
        <v>0</v>
      </c>
      <c r="J40" s="151">
        <v>0</v>
      </c>
      <c r="K40" s="151">
        <v>0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51">
        <v>0</v>
      </c>
      <c r="R40" s="151">
        <v>0</v>
      </c>
      <c r="S40" s="151">
        <v>0</v>
      </c>
      <c r="T40" s="151">
        <v>0</v>
      </c>
      <c r="U40" s="151">
        <v>0</v>
      </c>
      <c r="V40" s="151">
        <v>0</v>
      </c>
      <c r="W40" s="151">
        <v>0</v>
      </c>
      <c r="X40" s="151">
        <v>0</v>
      </c>
      <c r="Y40" s="151">
        <v>0</v>
      </c>
      <c r="Z40" s="151">
        <v>0</v>
      </c>
      <c r="AA40" s="151">
        <v>0</v>
      </c>
      <c r="AB40" s="152">
        <v>0</v>
      </c>
    </row>
    <row r="41" spans="1:28" s="179" customFormat="1" ht="15" customHeight="1" x14ac:dyDescent="0.2">
      <c r="A41" s="160" t="s">
        <v>795</v>
      </c>
      <c r="B41" s="150">
        <v>1</v>
      </c>
      <c r="C41" s="150" t="s">
        <v>516</v>
      </c>
      <c r="D41" s="150" t="s">
        <v>454</v>
      </c>
      <c r="E41" s="151">
        <v>0</v>
      </c>
      <c r="F41" s="151">
        <v>0</v>
      </c>
      <c r="G41" s="151">
        <v>0</v>
      </c>
      <c r="H41" s="151">
        <v>0</v>
      </c>
      <c r="I41" s="151">
        <v>0</v>
      </c>
      <c r="J41" s="151">
        <v>0</v>
      </c>
      <c r="K41" s="151">
        <v>0</v>
      </c>
      <c r="L41" s="151">
        <v>0</v>
      </c>
      <c r="M41" s="151">
        <v>0</v>
      </c>
      <c r="N41" s="151">
        <v>0</v>
      </c>
      <c r="O41" s="151">
        <v>0</v>
      </c>
      <c r="P41" s="151">
        <v>0</v>
      </c>
      <c r="Q41" s="151">
        <v>0</v>
      </c>
      <c r="R41" s="151">
        <v>0</v>
      </c>
      <c r="S41" s="151">
        <v>0</v>
      </c>
      <c r="T41" s="151">
        <v>0</v>
      </c>
      <c r="U41" s="151">
        <v>0</v>
      </c>
      <c r="V41" s="151">
        <v>0</v>
      </c>
      <c r="W41" s="151">
        <v>0</v>
      </c>
      <c r="X41" s="151">
        <v>0</v>
      </c>
      <c r="Y41" s="151">
        <v>0</v>
      </c>
      <c r="Z41" s="151">
        <v>0</v>
      </c>
      <c r="AA41" s="151">
        <v>0</v>
      </c>
      <c r="AB41" s="152">
        <v>0</v>
      </c>
    </row>
    <row r="42" spans="1:28" s="179" customFormat="1" ht="15" customHeight="1" x14ac:dyDescent="0.2">
      <c r="A42" s="149" t="s">
        <v>493</v>
      </c>
      <c r="B42" s="150">
        <v>3</v>
      </c>
      <c r="C42" s="150" t="s">
        <v>318</v>
      </c>
      <c r="D42" s="150" t="s">
        <v>292</v>
      </c>
      <c r="E42" s="151">
        <v>0</v>
      </c>
      <c r="F42" s="151">
        <v>0</v>
      </c>
      <c r="G42" s="151">
        <v>0</v>
      </c>
      <c r="H42" s="151">
        <v>0</v>
      </c>
      <c r="I42" s="151">
        <v>0</v>
      </c>
      <c r="J42" s="151">
        <v>0</v>
      </c>
      <c r="K42" s="151">
        <v>0</v>
      </c>
      <c r="L42" s="151">
        <v>0</v>
      </c>
      <c r="M42" s="151">
        <v>0</v>
      </c>
      <c r="N42" s="151">
        <v>0</v>
      </c>
      <c r="O42" s="151">
        <v>0</v>
      </c>
      <c r="P42" s="151">
        <v>0</v>
      </c>
      <c r="Q42" s="151">
        <v>0</v>
      </c>
      <c r="R42" s="151">
        <v>0</v>
      </c>
      <c r="S42" s="151">
        <v>0</v>
      </c>
      <c r="T42" s="151">
        <v>0</v>
      </c>
      <c r="U42" s="151">
        <v>0</v>
      </c>
      <c r="V42" s="151">
        <v>0</v>
      </c>
      <c r="W42" s="151">
        <v>0</v>
      </c>
      <c r="X42" s="151">
        <v>0</v>
      </c>
      <c r="Y42" s="151">
        <v>0</v>
      </c>
      <c r="Z42" s="151">
        <v>0</v>
      </c>
      <c r="AA42" s="151">
        <v>0</v>
      </c>
      <c r="AB42" s="152">
        <v>0</v>
      </c>
    </row>
    <row r="43" spans="1:28" s="179" customFormat="1" ht="15" customHeight="1" x14ac:dyDescent="0.2">
      <c r="A43" s="160" t="s">
        <v>794</v>
      </c>
      <c r="B43" s="150">
        <v>1</v>
      </c>
      <c r="C43" s="150" t="s">
        <v>516</v>
      </c>
      <c r="D43" s="150" t="s">
        <v>853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1">
        <v>0</v>
      </c>
      <c r="O43" s="151">
        <v>0</v>
      </c>
      <c r="P43" s="151">
        <v>0</v>
      </c>
      <c r="Q43" s="151">
        <v>0</v>
      </c>
      <c r="R43" s="151">
        <v>0</v>
      </c>
      <c r="S43" s="151">
        <v>0</v>
      </c>
      <c r="T43" s="151">
        <v>0</v>
      </c>
      <c r="U43" s="151">
        <v>0</v>
      </c>
      <c r="V43" s="151">
        <v>0</v>
      </c>
      <c r="W43" s="151">
        <v>0</v>
      </c>
      <c r="X43" s="151">
        <v>0</v>
      </c>
      <c r="Y43" s="151">
        <v>0</v>
      </c>
      <c r="Z43" s="151">
        <v>0</v>
      </c>
      <c r="AA43" s="151">
        <v>0</v>
      </c>
      <c r="AB43" s="152">
        <v>0</v>
      </c>
    </row>
    <row r="44" spans="1:28" s="179" customFormat="1" ht="15" customHeight="1" x14ac:dyDescent="0.2">
      <c r="A44" s="160" t="s">
        <v>793</v>
      </c>
      <c r="B44" s="150">
        <v>1</v>
      </c>
      <c r="C44" s="150" t="s">
        <v>516</v>
      </c>
      <c r="D44" s="150" t="s">
        <v>380</v>
      </c>
      <c r="E44" s="151">
        <v>0</v>
      </c>
      <c r="F44" s="151">
        <v>0</v>
      </c>
      <c r="G44" s="151">
        <v>0</v>
      </c>
      <c r="H44" s="151">
        <v>0</v>
      </c>
      <c r="I44" s="151">
        <v>0</v>
      </c>
      <c r="J44" s="151">
        <v>0</v>
      </c>
      <c r="K44" s="151">
        <v>0</v>
      </c>
      <c r="L44" s="151">
        <v>0</v>
      </c>
      <c r="M44" s="151">
        <v>0</v>
      </c>
      <c r="N44" s="151">
        <v>0</v>
      </c>
      <c r="O44" s="15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2">
        <v>0</v>
      </c>
    </row>
    <row r="45" spans="1:28" s="179" customFormat="1" ht="15" customHeight="1" x14ac:dyDescent="0.2">
      <c r="A45" s="149" t="s">
        <v>792</v>
      </c>
      <c r="B45" s="150">
        <v>2</v>
      </c>
      <c r="C45" s="150" t="s">
        <v>516</v>
      </c>
      <c r="D45" s="150" t="s">
        <v>850</v>
      </c>
      <c r="E45" s="151">
        <v>0</v>
      </c>
      <c r="F45" s="151">
        <v>0</v>
      </c>
      <c r="G45" s="151">
        <v>0</v>
      </c>
      <c r="H45" s="151">
        <v>0</v>
      </c>
      <c r="I45" s="154">
        <v>3</v>
      </c>
      <c r="J45" s="154">
        <v>3</v>
      </c>
      <c r="K45" s="155">
        <v>2</v>
      </c>
      <c r="L45" s="151">
        <v>0</v>
      </c>
      <c r="M45" s="151">
        <v>0</v>
      </c>
      <c r="N45" s="155">
        <v>2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2">
        <v>0</v>
      </c>
    </row>
    <row r="46" spans="1:28" s="179" customFormat="1" ht="15" customHeight="1" x14ac:dyDescent="0.2">
      <c r="A46" s="160" t="s">
        <v>528</v>
      </c>
      <c r="B46" s="150">
        <v>1</v>
      </c>
      <c r="C46" s="150" t="s">
        <v>516</v>
      </c>
      <c r="D46" s="150" t="s">
        <v>850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0</v>
      </c>
      <c r="Y46" s="151">
        <v>0</v>
      </c>
      <c r="Z46" s="151">
        <v>0</v>
      </c>
      <c r="AA46" s="151">
        <v>0</v>
      </c>
      <c r="AB46" s="152">
        <v>0</v>
      </c>
    </row>
    <row r="47" spans="1:28" s="179" customFormat="1" ht="15" customHeight="1" x14ac:dyDescent="0.2">
      <c r="A47" s="149" t="s">
        <v>366</v>
      </c>
      <c r="B47" s="150">
        <v>2</v>
      </c>
      <c r="C47" s="150" t="s">
        <v>318</v>
      </c>
      <c r="D47" s="150" t="s">
        <v>292</v>
      </c>
      <c r="E47" s="151">
        <v>0</v>
      </c>
      <c r="F47" s="151">
        <v>0</v>
      </c>
      <c r="G47" s="151">
        <v>0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0</v>
      </c>
      <c r="Y47" s="151">
        <v>0</v>
      </c>
      <c r="Z47" s="151">
        <v>0</v>
      </c>
      <c r="AA47" s="151">
        <v>0</v>
      </c>
      <c r="AB47" s="152">
        <v>0</v>
      </c>
    </row>
    <row r="48" spans="1:28" s="179" customFormat="1" ht="15" customHeight="1" x14ac:dyDescent="0.2">
      <c r="A48" s="160" t="s">
        <v>335</v>
      </c>
      <c r="B48" s="150">
        <v>1</v>
      </c>
      <c r="C48" s="150" t="s">
        <v>516</v>
      </c>
      <c r="D48" s="150" t="s">
        <v>52</v>
      </c>
      <c r="E48" s="151">
        <v>0</v>
      </c>
      <c r="F48" s="151">
        <v>0</v>
      </c>
      <c r="G48" s="151">
        <v>0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0</v>
      </c>
      <c r="Y48" s="151">
        <v>0</v>
      </c>
      <c r="Z48" s="151">
        <v>0</v>
      </c>
      <c r="AA48" s="151">
        <v>0</v>
      </c>
      <c r="AB48" s="152">
        <v>0</v>
      </c>
    </row>
    <row r="49" spans="1:28" s="179" customFormat="1" ht="15" customHeight="1" x14ac:dyDescent="0.2">
      <c r="A49" s="149" t="s">
        <v>402</v>
      </c>
      <c r="B49" s="150">
        <v>2</v>
      </c>
      <c r="C49" s="150" t="s">
        <v>517</v>
      </c>
      <c r="D49" s="150" t="s">
        <v>444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2">
        <v>0</v>
      </c>
    </row>
    <row r="50" spans="1:28" s="179" customFormat="1" ht="15" customHeight="1" x14ac:dyDescent="0.2">
      <c r="A50" s="160" t="s">
        <v>400</v>
      </c>
      <c r="B50" s="150">
        <v>1</v>
      </c>
      <c r="C50" s="150" t="s">
        <v>516</v>
      </c>
      <c r="D50" s="150" t="s">
        <v>851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2">
        <v>0</v>
      </c>
    </row>
    <row r="51" spans="1:28" s="179" customFormat="1" ht="15" customHeight="1" x14ac:dyDescent="0.2">
      <c r="A51" s="160" t="s">
        <v>791</v>
      </c>
      <c r="B51" s="150">
        <v>1</v>
      </c>
      <c r="C51" s="150" t="s">
        <v>516</v>
      </c>
      <c r="D51" s="150" t="s">
        <v>51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2">
        <v>0</v>
      </c>
    </row>
    <row r="52" spans="1:28" s="179" customFormat="1" ht="15" customHeight="1" x14ac:dyDescent="0.2">
      <c r="A52" s="160" t="s">
        <v>401</v>
      </c>
      <c r="B52" s="150">
        <v>1</v>
      </c>
      <c r="C52" s="150" t="s">
        <v>516</v>
      </c>
      <c r="D52" s="150" t="s">
        <v>52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2">
        <v>0</v>
      </c>
    </row>
    <row r="53" spans="1:28" s="179" customFormat="1" ht="15" customHeight="1" x14ac:dyDescent="0.2">
      <c r="A53" s="160" t="s">
        <v>790</v>
      </c>
      <c r="B53" s="150">
        <v>2</v>
      </c>
      <c r="C53" s="150" t="s">
        <v>516</v>
      </c>
      <c r="D53" s="150" t="s">
        <v>51</v>
      </c>
      <c r="E53" s="151">
        <v>0</v>
      </c>
      <c r="F53" s="151">
        <v>0</v>
      </c>
      <c r="G53" s="151">
        <v>0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4">
        <v>3</v>
      </c>
      <c r="P53" s="154">
        <v>3</v>
      </c>
      <c r="Q53" s="154">
        <v>3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0</v>
      </c>
      <c r="Y53" s="151">
        <v>0</v>
      </c>
      <c r="Z53" s="151">
        <v>0</v>
      </c>
      <c r="AA53" s="155">
        <v>2</v>
      </c>
      <c r="AB53" s="152">
        <v>0</v>
      </c>
    </row>
    <row r="54" spans="1:28" s="179" customFormat="1" ht="15" customHeight="1" x14ac:dyDescent="0.2">
      <c r="A54" s="160" t="s">
        <v>341</v>
      </c>
      <c r="B54" s="150">
        <v>1</v>
      </c>
      <c r="C54" s="150" t="s">
        <v>516</v>
      </c>
      <c r="D54" s="150" t="s">
        <v>852</v>
      </c>
      <c r="E54" s="151">
        <v>0</v>
      </c>
      <c r="F54" s="151">
        <v>0</v>
      </c>
      <c r="G54" s="151">
        <v>0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0</v>
      </c>
      <c r="Y54" s="151">
        <v>0</v>
      </c>
      <c r="Z54" s="151">
        <v>0</v>
      </c>
      <c r="AA54" s="151">
        <v>0</v>
      </c>
      <c r="AB54" s="152">
        <v>0</v>
      </c>
    </row>
    <row r="55" spans="1:28" s="179" customFormat="1" ht="15" customHeight="1" x14ac:dyDescent="0.2">
      <c r="A55" s="160" t="s">
        <v>411</v>
      </c>
      <c r="B55" s="150">
        <v>1</v>
      </c>
      <c r="C55" s="150" t="s">
        <v>516</v>
      </c>
      <c r="D55" s="150" t="s">
        <v>52</v>
      </c>
      <c r="E55" s="151">
        <v>0</v>
      </c>
      <c r="F55" s="151">
        <v>0</v>
      </c>
      <c r="G55" s="151">
        <v>0</v>
      </c>
      <c r="H55" s="151">
        <v>0</v>
      </c>
      <c r="I55" s="151">
        <v>0</v>
      </c>
      <c r="J55" s="151">
        <v>0</v>
      </c>
      <c r="K55" s="151">
        <v>0</v>
      </c>
      <c r="L55" s="151">
        <v>0</v>
      </c>
      <c r="M55" s="151">
        <v>0</v>
      </c>
      <c r="N55" s="151">
        <v>0</v>
      </c>
      <c r="O55" s="151">
        <v>0</v>
      </c>
      <c r="P55" s="151">
        <v>0</v>
      </c>
      <c r="Q55" s="151">
        <v>0</v>
      </c>
      <c r="R55" s="151">
        <v>0</v>
      </c>
      <c r="S55" s="151">
        <v>0</v>
      </c>
      <c r="T55" s="151">
        <v>0</v>
      </c>
      <c r="U55" s="151">
        <v>0</v>
      </c>
      <c r="V55" s="151">
        <v>0</v>
      </c>
      <c r="W55" s="151">
        <v>0</v>
      </c>
      <c r="X55" s="151">
        <v>0</v>
      </c>
      <c r="Y55" s="151">
        <v>0</v>
      </c>
      <c r="Z55" s="151">
        <v>0</v>
      </c>
      <c r="AA55" s="151">
        <v>0</v>
      </c>
      <c r="AB55" s="152">
        <v>0</v>
      </c>
    </row>
    <row r="56" spans="1:28" s="179" customFormat="1" ht="15" customHeight="1" x14ac:dyDescent="0.2">
      <c r="A56" s="160" t="s">
        <v>412</v>
      </c>
      <c r="B56" s="150" t="s">
        <v>281</v>
      </c>
      <c r="C56" s="150" t="s">
        <v>516</v>
      </c>
      <c r="D56" s="150" t="s">
        <v>850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2">
        <v>0</v>
      </c>
    </row>
    <row r="57" spans="1:28" s="179" customFormat="1" ht="15" customHeight="1" x14ac:dyDescent="0.2">
      <c r="A57" s="160" t="s">
        <v>367</v>
      </c>
      <c r="B57" s="150">
        <v>1</v>
      </c>
      <c r="C57" s="150" t="s">
        <v>516</v>
      </c>
      <c r="D57" s="150" t="s">
        <v>851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2">
        <v>0</v>
      </c>
    </row>
    <row r="58" spans="1:28" s="179" customFormat="1" ht="15" customHeight="1" x14ac:dyDescent="0.2">
      <c r="A58" s="160" t="s">
        <v>413</v>
      </c>
      <c r="B58" s="150">
        <v>1</v>
      </c>
      <c r="C58" s="150" t="s">
        <v>516</v>
      </c>
      <c r="D58" s="150" t="s">
        <v>851</v>
      </c>
      <c r="E58" s="151">
        <v>0</v>
      </c>
      <c r="F58" s="151">
        <v>0</v>
      </c>
      <c r="G58" s="151">
        <v>0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0</v>
      </c>
      <c r="Y58" s="151">
        <v>0</v>
      </c>
      <c r="Z58" s="151">
        <v>0</v>
      </c>
      <c r="AA58" s="151">
        <v>0</v>
      </c>
      <c r="AB58" s="152">
        <v>0</v>
      </c>
    </row>
    <row r="59" spans="1:28" s="179" customFormat="1" ht="15" customHeight="1" x14ac:dyDescent="0.2">
      <c r="A59" s="149" t="s">
        <v>789</v>
      </c>
      <c r="B59" s="150">
        <v>1</v>
      </c>
      <c r="C59" s="150" t="s">
        <v>516</v>
      </c>
      <c r="D59" s="150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0</v>
      </c>
      <c r="Y59" s="151">
        <v>0</v>
      </c>
      <c r="Z59" s="151">
        <v>0</v>
      </c>
      <c r="AA59" s="151">
        <v>0</v>
      </c>
      <c r="AB59" s="152">
        <v>0</v>
      </c>
    </row>
    <row r="60" spans="1:28" s="179" customFormat="1" ht="15" customHeight="1" x14ac:dyDescent="0.2">
      <c r="A60" s="160" t="s">
        <v>342</v>
      </c>
      <c r="B60" s="150">
        <v>1</v>
      </c>
      <c r="C60" s="150" t="s">
        <v>516</v>
      </c>
      <c r="D60" s="150" t="s">
        <v>850</v>
      </c>
      <c r="E60" s="151">
        <v>0</v>
      </c>
      <c r="F60" s="151">
        <v>0</v>
      </c>
      <c r="G60" s="151">
        <v>0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0</v>
      </c>
      <c r="Y60" s="151">
        <v>0</v>
      </c>
      <c r="Z60" s="151">
        <v>0</v>
      </c>
      <c r="AA60" s="151">
        <v>0</v>
      </c>
      <c r="AB60" s="152">
        <v>0</v>
      </c>
    </row>
    <row r="61" spans="1:28" s="179" customFormat="1" ht="15" customHeight="1" x14ac:dyDescent="0.2">
      <c r="A61" s="149" t="s">
        <v>788</v>
      </c>
      <c r="B61" s="150">
        <v>2</v>
      </c>
      <c r="C61" s="150" t="s">
        <v>516</v>
      </c>
      <c r="D61" s="150" t="s">
        <v>850</v>
      </c>
      <c r="E61" s="151">
        <v>0</v>
      </c>
      <c r="F61" s="151">
        <v>0</v>
      </c>
      <c r="G61" s="151">
        <v>0</v>
      </c>
      <c r="H61" s="151">
        <v>0</v>
      </c>
      <c r="I61" s="154">
        <v>3</v>
      </c>
      <c r="J61" s="154">
        <v>3</v>
      </c>
      <c r="K61" s="154">
        <v>3</v>
      </c>
      <c r="L61" s="151">
        <v>0</v>
      </c>
      <c r="M61" s="151">
        <v>0</v>
      </c>
      <c r="N61" s="154">
        <v>3</v>
      </c>
      <c r="O61" s="151">
        <v>0</v>
      </c>
      <c r="P61" s="151">
        <v>0</v>
      </c>
      <c r="Q61" s="151">
        <v>0</v>
      </c>
      <c r="R61" s="151">
        <v>0</v>
      </c>
      <c r="S61" s="151">
        <v>0</v>
      </c>
      <c r="T61" s="151">
        <v>0</v>
      </c>
      <c r="U61" s="151">
        <v>0</v>
      </c>
      <c r="V61" s="151">
        <v>0</v>
      </c>
      <c r="W61" s="151">
        <v>0</v>
      </c>
      <c r="X61" s="151">
        <v>0</v>
      </c>
      <c r="Y61" s="151">
        <v>0</v>
      </c>
      <c r="Z61" s="151">
        <v>0</v>
      </c>
      <c r="AA61" s="151">
        <v>0</v>
      </c>
      <c r="AB61" s="152">
        <v>0</v>
      </c>
    </row>
    <row r="62" spans="1:28" s="179" customFormat="1" ht="15" customHeight="1" x14ac:dyDescent="0.2">
      <c r="A62" s="149" t="s">
        <v>416</v>
      </c>
      <c r="B62" s="150">
        <v>1</v>
      </c>
      <c r="C62" s="150" t="s">
        <v>318</v>
      </c>
      <c r="D62" s="150" t="s">
        <v>292</v>
      </c>
      <c r="E62" s="151">
        <v>0</v>
      </c>
      <c r="F62" s="151">
        <v>0</v>
      </c>
      <c r="G62" s="151">
        <v>0</v>
      </c>
      <c r="H62" s="151">
        <v>0</v>
      </c>
      <c r="I62" s="151">
        <v>0</v>
      </c>
      <c r="J62" s="151">
        <v>0</v>
      </c>
      <c r="K62" s="151">
        <v>0</v>
      </c>
      <c r="L62" s="151">
        <v>0</v>
      </c>
      <c r="M62" s="151">
        <v>0</v>
      </c>
      <c r="N62" s="151">
        <v>0</v>
      </c>
      <c r="O62" s="151">
        <v>0</v>
      </c>
      <c r="P62" s="151">
        <v>0</v>
      </c>
      <c r="Q62" s="151">
        <v>0</v>
      </c>
      <c r="R62" s="151">
        <v>0</v>
      </c>
      <c r="S62" s="151">
        <v>0</v>
      </c>
      <c r="T62" s="151">
        <v>0</v>
      </c>
      <c r="U62" s="151">
        <v>0</v>
      </c>
      <c r="V62" s="151">
        <v>0</v>
      </c>
      <c r="W62" s="151">
        <v>0</v>
      </c>
      <c r="X62" s="151">
        <v>0</v>
      </c>
      <c r="Y62" s="151">
        <v>0</v>
      </c>
      <c r="Z62" s="151">
        <v>0</v>
      </c>
      <c r="AA62" s="151">
        <v>0</v>
      </c>
      <c r="AB62" s="152">
        <v>0</v>
      </c>
    </row>
    <row r="63" spans="1:28" s="179" customFormat="1" ht="15" customHeight="1" x14ac:dyDescent="0.2">
      <c r="A63" s="160" t="s">
        <v>347</v>
      </c>
      <c r="B63" s="150">
        <v>1</v>
      </c>
      <c r="C63" s="150" t="s">
        <v>516</v>
      </c>
      <c r="D63" s="150" t="s">
        <v>52</v>
      </c>
      <c r="E63" s="151">
        <v>0</v>
      </c>
      <c r="F63" s="151">
        <v>0</v>
      </c>
      <c r="G63" s="151">
        <v>0</v>
      </c>
      <c r="H63" s="151">
        <v>0</v>
      </c>
      <c r="I63" s="151">
        <v>0</v>
      </c>
      <c r="J63" s="151">
        <v>0</v>
      </c>
      <c r="K63" s="151">
        <v>0</v>
      </c>
      <c r="L63" s="151">
        <v>0</v>
      </c>
      <c r="M63" s="151">
        <v>0</v>
      </c>
      <c r="N63" s="151">
        <v>0</v>
      </c>
      <c r="O63" s="151">
        <v>0</v>
      </c>
      <c r="P63" s="151">
        <v>0</v>
      </c>
      <c r="Q63" s="151">
        <v>0</v>
      </c>
      <c r="R63" s="151">
        <v>0</v>
      </c>
      <c r="S63" s="151">
        <v>0</v>
      </c>
      <c r="T63" s="151">
        <v>0</v>
      </c>
      <c r="U63" s="151">
        <v>0</v>
      </c>
      <c r="V63" s="151">
        <v>0</v>
      </c>
      <c r="W63" s="151">
        <v>0</v>
      </c>
      <c r="X63" s="151">
        <v>0</v>
      </c>
      <c r="Y63" s="151">
        <v>0</v>
      </c>
      <c r="Z63" s="151">
        <v>0</v>
      </c>
      <c r="AA63" s="151">
        <v>0</v>
      </c>
      <c r="AB63" s="152">
        <v>0</v>
      </c>
    </row>
    <row r="64" spans="1:28" s="179" customFormat="1" ht="15" customHeight="1" x14ac:dyDescent="0.2">
      <c r="A64" s="160" t="s">
        <v>351</v>
      </c>
      <c r="B64" s="150">
        <v>1</v>
      </c>
      <c r="C64" s="150" t="s">
        <v>516</v>
      </c>
      <c r="D64" s="150" t="s">
        <v>853</v>
      </c>
      <c r="E64" s="151">
        <v>0</v>
      </c>
      <c r="F64" s="151">
        <v>0</v>
      </c>
      <c r="G64" s="151">
        <v>0</v>
      </c>
      <c r="H64" s="151">
        <v>0</v>
      </c>
      <c r="I64" s="151">
        <v>0</v>
      </c>
      <c r="J64" s="151">
        <v>0</v>
      </c>
      <c r="K64" s="151">
        <v>0</v>
      </c>
      <c r="L64" s="151">
        <v>0</v>
      </c>
      <c r="M64" s="151">
        <v>0</v>
      </c>
      <c r="N64" s="151">
        <v>0</v>
      </c>
      <c r="O64" s="151">
        <v>0</v>
      </c>
      <c r="P64" s="151">
        <v>0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2">
        <v>0</v>
      </c>
    </row>
    <row r="65" spans="1:28" s="179" customFormat="1" ht="15" customHeight="1" x14ac:dyDescent="0.2">
      <c r="A65" s="160" t="s">
        <v>787</v>
      </c>
      <c r="B65" s="150">
        <v>1</v>
      </c>
      <c r="C65" s="150" t="s">
        <v>516</v>
      </c>
      <c r="D65" s="150" t="s">
        <v>380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2">
        <v>0</v>
      </c>
    </row>
    <row r="66" spans="1:28" s="179" customFormat="1" ht="15" customHeight="1" x14ac:dyDescent="0.2">
      <c r="A66" s="149" t="s">
        <v>532</v>
      </c>
      <c r="B66" s="150">
        <v>3</v>
      </c>
      <c r="C66" s="150" t="s">
        <v>318</v>
      </c>
      <c r="D66" s="150" t="s">
        <v>292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0</v>
      </c>
      <c r="K66" s="151">
        <v>0</v>
      </c>
      <c r="L66" s="151">
        <v>0</v>
      </c>
      <c r="M66" s="151">
        <v>0</v>
      </c>
      <c r="N66" s="151">
        <v>0</v>
      </c>
      <c r="O66" s="151">
        <v>0</v>
      </c>
      <c r="P66" s="151">
        <v>0</v>
      </c>
      <c r="Q66" s="151">
        <v>0</v>
      </c>
      <c r="R66" s="151">
        <v>0</v>
      </c>
      <c r="S66" s="151">
        <v>0</v>
      </c>
      <c r="T66" s="151">
        <v>0</v>
      </c>
      <c r="U66" s="151">
        <v>0</v>
      </c>
      <c r="V66" s="151">
        <v>0</v>
      </c>
      <c r="W66" s="151">
        <v>0</v>
      </c>
      <c r="X66" s="151">
        <v>0</v>
      </c>
      <c r="Y66" s="151">
        <v>0</v>
      </c>
      <c r="Z66" s="151">
        <v>0</v>
      </c>
      <c r="AA66" s="151">
        <v>0</v>
      </c>
      <c r="AB66" s="152">
        <v>0</v>
      </c>
    </row>
    <row r="67" spans="1:28" s="179" customFormat="1" ht="15" customHeight="1" x14ac:dyDescent="0.2">
      <c r="A67" s="149" t="s">
        <v>531</v>
      </c>
      <c r="B67" s="150">
        <v>3</v>
      </c>
      <c r="C67" s="150" t="s">
        <v>318</v>
      </c>
      <c r="D67" s="150" t="s">
        <v>292</v>
      </c>
      <c r="E67" s="151">
        <v>0</v>
      </c>
      <c r="F67" s="151">
        <v>0</v>
      </c>
      <c r="G67" s="151">
        <v>0</v>
      </c>
      <c r="H67" s="151">
        <v>0</v>
      </c>
      <c r="I67" s="151">
        <v>0</v>
      </c>
      <c r="J67" s="151">
        <v>0</v>
      </c>
      <c r="K67" s="151">
        <v>0</v>
      </c>
      <c r="L67" s="151">
        <v>0</v>
      </c>
      <c r="M67" s="151">
        <v>0</v>
      </c>
      <c r="N67" s="151">
        <v>0</v>
      </c>
      <c r="O67" s="15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151">
        <v>0</v>
      </c>
      <c r="W67" s="151">
        <v>0</v>
      </c>
      <c r="X67" s="151">
        <v>0</v>
      </c>
      <c r="Y67" s="151">
        <v>0</v>
      </c>
      <c r="Z67" s="151">
        <v>0</v>
      </c>
      <c r="AA67" s="151">
        <v>0</v>
      </c>
      <c r="AB67" s="152">
        <v>0</v>
      </c>
    </row>
    <row r="68" spans="1:28" s="179" customFormat="1" ht="15" customHeight="1" x14ac:dyDescent="0.2">
      <c r="A68" s="149" t="s">
        <v>786</v>
      </c>
      <c r="B68" s="150">
        <v>2</v>
      </c>
      <c r="C68" s="150" t="s">
        <v>318</v>
      </c>
      <c r="D68" s="150" t="s">
        <v>292</v>
      </c>
      <c r="E68" s="151">
        <v>0</v>
      </c>
      <c r="F68" s="151">
        <v>0</v>
      </c>
      <c r="G68" s="151">
        <v>0</v>
      </c>
      <c r="H68" s="151">
        <v>0</v>
      </c>
      <c r="I68" s="151">
        <v>0</v>
      </c>
      <c r="J68" s="151">
        <v>0</v>
      </c>
      <c r="K68" s="151">
        <v>0</v>
      </c>
      <c r="L68" s="151">
        <v>0</v>
      </c>
      <c r="M68" s="151">
        <v>0</v>
      </c>
      <c r="N68" s="151">
        <v>0</v>
      </c>
      <c r="O68" s="151">
        <v>0</v>
      </c>
      <c r="P68" s="151">
        <v>0</v>
      </c>
      <c r="Q68" s="151">
        <v>0</v>
      </c>
      <c r="R68" s="151">
        <v>0</v>
      </c>
      <c r="S68" s="151">
        <v>0</v>
      </c>
      <c r="T68" s="151">
        <v>0</v>
      </c>
      <c r="U68" s="151">
        <v>0</v>
      </c>
      <c r="V68" s="151">
        <v>0</v>
      </c>
      <c r="W68" s="151">
        <v>0</v>
      </c>
      <c r="X68" s="151">
        <v>0</v>
      </c>
      <c r="Y68" s="151">
        <v>0</v>
      </c>
      <c r="Z68" s="151">
        <v>0</v>
      </c>
      <c r="AA68" s="151">
        <v>0</v>
      </c>
      <c r="AB68" s="152">
        <v>0</v>
      </c>
    </row>
    <row r="69" spans="1:28" s="179" customFormat="1" ht="15" customHeight="1" x14ac:dyDescent="0.2">
      <c r="A69" s="160" t="s">
        <v>418</v>
      </c>
      <c r="B69" s="150">
        <v>1</v>
      </c>
      <c r="C69" s="150" t="s">
        <v>516</v>
      </c>
      <c r="D69" s="150" t="s">
        <v>853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2">
        <v>0</v>
      </c>
    </row>
    <row r="70" spans="1:28" s="179" customFormat="1" ht="15" customHeight="1" x14ac:dyDescent="0.2">
      <c r="A70" s="160" t="s">
        <v>358</v>
      </c>
      <c r="B70" s="150">
        <v>3</v>
      </c>
      <c r="C70" s="150" t="s">
        <v>516</v>
      </c>
      <c r="D70" s="150" t="s">
        <v>52</v>
      </c>
      <c r="E70" s="151">
        <v>0</v>
      </c>
      <c r="F70" s="151">
        <v>0</v>
      </c>
      <c r="G70" s="151">
        <v>0</v>
      </c>
      <c r="H70" s="154">
        <v>3</v>
      </c>
      <c r="I70" s="151">
        <v>0</v>
      </c>
      <c r="J70" s="151">
        <v>0</v>
      </c>
      <c r="K70" s="151">
        <v>0</v>
      </c>
      <c r="L70" s="151">
        <v>0</v>
      </c>
      <c r="M70" s="155">
        <v>2</v>
      </c>
      <c r="N70" s="151">
        <v>0</v>
      </c>
      <c r="O70" s="156">
        <v>1</v>
      </c>
      <c r="P70" s="156">
        <v>1</v>
      </c>
      <c r="Q70" s="151">
        <v>0</v>
      </c>
      <c r="R70" s="151">
        <v>0</v>
      </c>
      <c r="S70" s="151">
        <v>0</v>
      </c>
      <c r="T70" s="151">
        <v>0</v>
      </c>
      <c r="U70" s="153">
        <v>4</v>
      </c>
      <c r="V70" s="153">
        <v>4</v>
      </c>
      <c r="W70" s="154">
        <v>3</v>
      </c>
      <c r="X70" s="154">
        <v>3</v>
      </c>
      <c r="Y70" s="151">
        <v>0</v>
      </c>
      <c r="Z70" s="153">
        <v>4</v>
      </c>
      <c r="AA70" s="156">
        <v>1</v>
      </c>
      <c r="AB70" s="158">
        <v>1</v>
      </c>
    </row>
    <row r="71" spans="1:28" s="179" customFormat="1" ht="15" customHeight="1" x14ac:dyDescent="0.2">
      <c r="A71" s="160" t="s">
        <v>495</v>
      </c>
      <c r="B71" s="150">
        <v>2</v>
      </c>
      <c r="C71" s="150" t="s">
        <v>516</v>
      </c>
      <c r="D71" s="150" t="s">
        <v>850</v>
      </c>
      <c r="E71" s="151">
        <v>0</v>
      </c>
      <c r="F71" s="151">
        <v>0</v>
      </c>
      <c r="G71" s="151">
        <v>0</v>
      </c>
      <c r="H71" s="151">
        <v>0</v>
      </c>
      <c r="I71" s="154">
        <v>3</v>
      </c>
      <c r="J71" s="154">
        <v>3</v>
      </c>
      <c r="K71" s="154">
        <v>3</v>
      </c>
      <c r="L71" s="151">
        <v>0</v>
      </c>
      <c r="M71" s="151">
        <v>0</v>
      </c>
      <c r="N71" s="154">
        <v>3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2">
        <v>0</v>
      </c>
    </row>
    <row r="72" spans="1:28" s="179" customFormat="1" ht="15" customHeight="1" x14ac:dyDescent="0.2">
      <c r="A72" s="160" t="s">
        <v>419</v>
      </c>
      <c r="B72" s="150" t="s">
        <v>281</v>
      </c>
      <c r="C72" s="150" t="s">
        <v>516</v>
      </c>
      <c r="D72" s="150" t="s">
        <v>851</v>
      </c>
      <c r="E72" s="151">
        <v>0</v>
      </c>
      <c r="F72" s="151">
        <v>0</v>
      </c>
      <c r="G72" s="151">
        <v>0</v>
      </c>
      <c r="H72" s="151">
        <v>0</v>
      </c>
      <c r="I72" s="151">
        <v>0</v>
      </c>
      <c r="J72" s="151">
        <v>0</v>
      </c>
      <c r="K72" s="151">
        <v>0</v>
      </c>
      <c r="L72" s="151">
        <v>0</v>
      </c>
      <c r="M72" s="151">
        <v>0</v>
      </c>
      <c r="N72" s="151">
        <v>0</v>
      </c>
      <c r="O72" s="151">
        <v>0</v>
      </c>
      <c r="P72" s="151">
        <v>0</v>
      </c>
      <c r="Q72" s="151">
        <v>0</v>
      </c>
      <c r="R72" s="151">
        <v>0</v>
      </c>
      <c r="S72" s="151">
        <v>0</v>
      </c>
      <c r="T72" s="151">
        <v>0</v>
      </c>
      <c r="U72" s="151">
        <v>0</v>
      </c>
      <c r="V72" s="151">
        <v>0</v>
      </c>
      <c r="W72" s="151">
        <v>0</v>
      </c>
      <c r="X72" s="151">
        <v>0</v>
      </c>
      <c r="Y72" s="151">
        <v>0</v>
      </c>
      <c r="Z72" s="151">
        <v>0</v>
      </c>
      <c r="AA72" s="151">
        <v>0</v>
      </c>
      <c r="AB72" s="152">
        <v>0</v>
      </c>
    </row>
    <row r="73" spans="1:28" s="179" customFormat="1" ht="15" customHeight="1" x14ac:dyDescent="0.2">
      <c r="A73" s="160" t="s">
        <v>356</v>
      </c>
      <c r="B73" s="150">
        <v>2</v>
      </c>
      <c r="C73" s="150" t="s">
        <v>516</v>
      </c>
      <c r="D73" s="150" t="s">
        <v>853</v>
      </c>
      <c r="E73" s="151">
        <v>0</v>
      </c>
      <c r="F73" s="151">
        <v>0</v>
      </c>
      <c r="G73" s="151">
        <v>0</v>
      </c>
      <c r="H73" s="151">
        <v>0</v>
      </c>
      <c r="I73" s="154">
        <v>3</v>
      </c>
      <c r="J73" s="154">
        <v>3</v>
      </c>
      <c r="K73" s="154">
        <v>3</v>
      </c>
      <c r="L73" s="151">
        <v>0</v>
      </c>
      <c r="M73" s="151">
        <v>0</v>
      </c>
      <c r="N73" s="154">
        <v>3</v>
      </c>
      <c r="O73" s="154">
        <v>3</v>
      </c>
      <c r="P73" s="154">
        <v>3</v>
      </c>
      <c r="Q73" s="154">
        <v>3</v>
      </c>
      <c r="R73" s="151">
        <v>0</v>
      </c>
      <c r="S73" s="151">
        <v>0</v>
      </c>
      <c r="T73" s="151">
        <v>0</v>
      </c>
      <c r="U73" s="151">
        <v>0</v>
      </c>
      <c r="V73" s="151">
        <v>0</v>
      </c>
      <c r="W73" s="151">
        <v>0</v>
      </c>
      <c r="X73" s="151">
        <v>0</v>
      </c>
      <c r="Y73" s="151">
        <v>0</v>
      </c>
      <c r="Z73" s="154">
        <v>3</v>
      </c>
      <c r="AA73" s="153">
        <v>4</v>
      </c>
      <c r="AB73" s="159">
        <v>4</v>
      </c>
    </row>
    <row r="74" spans="1:28" s="179" customFormat="1" ht="15" customHeight="1" x14ac:dyDescent="0.2">
      <c r="A74" s="149" t="s">
        <v>422</v>
      </c>
      <c r="B74" s="150">
        <v>1</v>
      </c>
      <c r="C74" s="150" t="s">
        <v>318</v>
      </c>
      <c r="D74" s="150" t="s">
        <v>292</v>
      </c>
      <c r="E74" s="151">
        <v>0</v>
      </c>
      <c r="F74" s="151">
        <v>0</v>
      </c>
      <c r="G74" s="151">
        <v>0</v>
      </c>
      <c r="H74" s="151">
        <v>0</v>
      </c>
      <c r="I74" s="151">
        <v>0</v>
      </c>
      <c r="J74" s="151">
        <v>0</v>
      </c>
      <c r="K74" s="151">
        <v>0</v>
      </c>
      <c r="L74" s="151">
        <v>0</v>
      </c>
      <c r="M74" s="151">
        <v>0</v>
      </c>
      <c r="N74" s="151">
        <v>0</v>
      </c>
      <c r="O74" s="151">
        <v>0</v>
      </c>
      <c r="P74" s="151">
        <v>0</v>
      </c>
      <c r="Q74" s="151">
        <v>0</v>
      </c>
      <c r="R74" s="151">
        <v>0</v>
      </c>
      <c r="S74" s="151">
        <v>0</v>
      </c>
      <c r="T74" s="151">
        <v>0</v>
      </c>
      <c r="U74" s="151">
        <v>0</v>
      </c>
      <c r="V74" s="151">
        <v>0</v>
      </c>
      <c r="W74" s="151">
        <v>0</v>
      </c>
      <c r="X74" s="151">
        <v>0</v>
      </c>
      <c r="Y74" s="151">
        <v>0</v>
      </c>
      <c r="Z74" s="151">
        <v>0</v>
      </c>
      <c r="AA74" s="151">
        <v>0</v>
      </c>
      <c r="AB74" s="152">
        <v>0</v>
      </c>
    </row>
    <row r="75" spans="1:28" s="179" customFormat="1" ht="15" customHeight="1" x14ac:dyDescent="0.2">
      <c r="A75" s="160" t="s">
        <v>423</v>
      </c>
      <c r="B75" s="150">
        <v>1</v>
      </c>
      <c r="C75" s="150" t="s">
        <v>516</v>
      </c>
      <c r="D75" s="150" t="s">
        <v>849</v>
      </c>
      <c r="E75" s="151">
        <v>0</v>
      </c>
      <c r="F75" s="151">
        <v>0</v>
      </c>
      <c r="G75" s="151">
        <v>0</v>
      </c>
      <c r="H75" s="151">
        <v>0</v>
      </c>
      <c r="I75" s="151">
        <v>0</v>
      </c>
      <c r="J75" s="151">
        <v>0</v>
      </c>
      <c r="K75" s="151">
        <v>0</v>
      </c>
      <c r="L75" s="151">
        <v>0</v>
      </c>
      <c r="M75" s="151">
        <v>0</v>
      </c>
      <c r="N75" s="151">
        <v>0</v>
      </c>
      <c r="O75" s="151">
        <v>0</v>
      </c>
      <c r="P75" s="151">
        <v>0</v>
      </c>
      <c r="Q75" s="151">
        <v>0</v>
      </c>
      <c r="R75" s="151">
        <v>0</v>
      </c>
      <c r="S75" s="151">
        <v>0</v>
      </c>
      <c r="T75" s="151">
        <v>0</v>
      </c>
      <c r="U75" s="151">
        <v>0</v>
      </c>
      <c r="V75" s="151">
        <v>0</v>
      </c>
      <c r="W75" s="151">
        <v>0</v>
      </c>
      <c r="X75" s="151">
        <v>0</v>
      </c>
      <c r="Y75" s="151">
        <v>0</v>
      </c>
      <c r="Z75" s="151">
        <v>0</v>
      </c>
      <c r="AA75" s="151">
        <v>0</v>
      </c>
      <c r="AB75" s="152">
        <v>0</v>
      </c>
    </row>
    <row r="76" spans="1:28" s="179" customFormat="1" ht="15" customHeight="1" x14ac:dyDescent="0.2">
      <c r="A76" s="149" t="s">
        <v>496</v>
      </c>
      <c r="B76" s="150">
        <v>3</v>
      </c>
      <c r="C76" s="150" t="s">
        <v>318</v>
      </c>
      <c r="D76" s="150" t="s">
        <v>292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2">
        <v>0</v>
      </c>
    </row>
    <row r="77" spans="1:28" s="179" customFormat="1" ht="15" customHeight="1" x14ac:dyDescent="0.2">
      <c r="A77" s="160" t="s">
        <v>785</v>
      </c>
      <c r="B77" s="150">
        <v>2</v>
      </c>
      <c r="C77" s="150" t="s">
        <v>516</v>
      </c>
      <c r="D77" s="150" t="s">
        <v>852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4">
        <v>3</v>
      </c>
      <c r="P77" s="154">
        <v>3</v>
      </c>
      <c r="Q77" s="154">
        <v>3</v>
      </c>
      <c r="R77" s="151">
        <v>0</v>
      </c>
      <c r="S77" s="151">
        <v>0</v>
      </c>
      <c r="T77" s="153">
        <v>4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2">
        <v>0</v>
      </c>
    </row>
    <row r="78" spans="1:28" s="179" customFormat="1" ht="15" customHeight="1" x14ac:dyDescent="0.2">
      <c r="A78" s="149" t="s">
        <v>345</v>
      </c>
      <c r="B78" s="150">
        <v>2</v>
      </c>
      <c r="C78" s="150" t="s">
        <v>318</v>
      </c>
      <c r="D78" s="150" t="s">
        <v>292</v>
      </c>
      <c r="E78" s="151">
        <v>0</v>
      </c>
      <c r="F78" s="151">
        <v>0</v>
      </c>
      <c r="G78" s="151">
        <v>0</v>
      </c>
      <c r="H78" s="151">
        <v>0</v>
      </c>
      <c r="I78" s="151">
        <v>0</v>
      </c>
      <c r="J78" s="151">
        <v>0</v>
      </c>
      <c r="K78" s="151">
        <v>0</v>
      </c>
      <c r="L78" s="151">
        <v>0</v>
      </c>
      <c r="M78" s="151">
        <v>0</v>
      </c>
      <c r="N78" s="151">
        <v>0</v>
      </c>
      <c r="O78" s="151">
        <v>0</v>
      </c>
      <c r="P78" s="151">
        <v>0</v>
      </c>
      <c r="Q78" s="151">
        <v>0</v>
      </c>
      <c r="R78" s="151">
        <v>0</v>
      </c>
      <c r="S78" s="151">
        <v>0</v>
      </c>
      <c r="T78" s="151">
        <v>0</v>
      </c>
      <c r="U78" s="151">
        <v>0</v>
      </c>
      <c r="V78" s="151">
        <v>0</v>
      </c>
      <c r="W78" s="151">
        <v>0</v>
      </c>
      <c r="X78" s="151">
        <v>0</v>
      </c>
      <c r="Y78" s="151">
        <v>0</v>
      </c>
      <c r="Z78" s="151">
        <v>0</v>
      </c>
      <c r="AA78" s="151">
        <v>0</v>
      </c>
      <c r="AB78" s="152">
        <v>0</v>
      </c>
    </row>
    <row r="79" spans="1:28" s="179" customFormat="1" ht="15" customHeight="1" x14ac:dyDescent="0.2">
      <c r="A79" s="149" t="s">
        <v>368</v>
      </c>
      <c r="B79" s="150">
        <v>1</v>
      </c>
      <c r="C79" s="150" t="s">
        <v>318</v>
      </c>
      <c r="D79" s="150" t="s">
        <v>292</v>
      </c>
      <c r="E79" s="151">
        <v>0</v>
      </c>
      <c r="F79" s="151">
        <v>0</v>
      </c>
      <c r="G79" s="151">
        <v>0</v>
      </c>
      <c r="H79" s="151">
        <v>0</v>
      </c>
      <c r="I79" s="151">
        <v>0</v>
      </c>
      <c r="J79" s="151">
        <v>0</v>
      </c>
      <c r="K79" s="151">
        <v>0</v>
      </c>
      <c r="L79" s="151">
        <v>0</v>
      </c>
      <c r="M79" s="151">
        <v>0</v>
      </c>
      <c r="N79" s="151">
        <v>0</v>
      </c>
      <c r="O79" s="151">
        <v>0</v>
      </c>
      <c r="P79" s="151">
        <v>0</v>
      </c>
      <c r="Q79" s="151">
        <v>0</v>
      </c>
      <c r="R79" s="151">
        <v>0</v>
      </c>
      <c r="S79" s="151">
        <v>0</v>
      </c>
      <c r="T79" s="151">
        <v>0</v>
      </c>
      <c r="U79" s="151">
        <v>0</v>
      </c>
      <c r="V79" s="151">
        <v>0</v>
      </c>
      <c r="W79" s="151">
        <v>0</v>
      </c>
      <c r="X79" s="151">
        <v>0</v>
      </c>
      <c r="Y79" s="151">
        <v>0</v>
      </c>
      <c r="Z79" s="151">
        <v>0</v>
      </c>
      <c r="AA79" s="151">
        <v>0</v>
      </c>
      <c r="AB79" s="152">
        <v>0</v>
      </c>
    </row>
    <row r="80" spans="1:28" s="179" customFormat="1" ht="15" customHeight="1" x14ac:dyDescent="0.2">
      <c r="A80" s="160" t="s">
        <v>485</v>
      </c>
      <c r="B80" s="150">
        <v>3</v>
      </c>
      <c r="C80" s="150" t="s">
        <v>516</v>
      </c>
      <c r="D80" s="150" t="s">
        <v>51</v>
      </c>
      <c r="E80" s="151">
        <v>0</v>
      </c>
      <c r="F80" s="151">
        <v>0</v>
      </c>
      <c r="G80" s="151">
        <v>0</v>
      </c>
      <c r="H80" s="151">
        <v>0</v>
      </c>
      <c r="I80" s="151">
        <v>0</v>
      </c>
      <c r="J80" s="151">
        <v>0</v>
      </c>
      <c r="K80" s="151">
        <v>0</v>
      </c>
      <c r="L80" s="151">
        <v>0</v>
      </c>
      <c r="M80" s="151">
        <v>0</v>
      </c>
      <c r="N80" s="151">
        <v>0</v>
      </c>
      <c r="O80" s="153">
        <v>4</v>
      </c>
      <c r="P80" s="153">
        <v>4</v>
      </c>
      <c r="Q80" s="153">
        <v>4</v>
      </c>
      <c r="R80" s="153">
        <v>4</v>
      </c>
      <c r="S80" s="151">
        <v>0</v>
      </c>
      <c r="T80" s="151">
        <v>0</v>
      </c>
      <c r="U80" s="151">
        <v>0</v>
      </c>
      <c r="V80" s="151">
        <v>0</v>
      </c>
      <c r="W80" s="151">
        <v>0</v>
      </c>
      <c r="X80" s="151">
        <v>0</v>
      </c>
      <c r="Y80" s="151">
        <v>0</v>
      </c>
      <c r="Z80" s="151">
        <v>0</v>
      </c>
      <c r="AA80" s="151">
        <v>0</v>
      </c>
      <c r="AB80" s="152">
        <v>0</v>
      </c>
    </row>
    <row r="81" spans="1:28" s="179" customFormat="1" ht="15" customHeight="1" x14ac:dyDescent="0.2">
      <c r="A81" s="160" t="s">
        <v>424</v>
      </c>
      <c r="B81" s="150" t="s">
        <v>281</v>
      </c>
      <c r="C81" s="150" t="s">
        <v>516</v>
      </c>
      <c r="D81" s="150" t="s">
        <v>454</v>
      </c>
      <c r="E81" s="151">
        <v>0</v>
      </c>
      <c r="F81" s="151">
        <v>0</v>
      </c>
      <c r="G81" s="151">
        <v>0</v>
      </c>
      <c r="H81" s="151">
        <v>0</v>
      </c>
      <c r="I81" s="151">
        <v>0</v>
      </c>
      <c r="J81" s="151">
        <v>0</v>
      </c>
      <c r="K81" s="151">
        <v>0</v>
      </c>
      <c r="L81" s="151">
        <v>0</v>
      </c>
      <c r="M81" s="151">
        <v>0</v>
      </c>
      <c r="N81" s="151">
        <v>0</v>
      </c>
      <c r="O81" s="151">
        <v>0</v>
      </c>
      <c r="P81" s="151">
        <v>0</v>
      </c>
      <c r="Q81" s="151">
        <v>0</v>
      </c>
      <c r="R81" s="151">
        <v>0</v>
      </c>
      <c r="S81" s="151">
        <v>0</v>
      </c>
      <c r="T81" s="151">
        <v>0</v>
      </c>
      <c r="U81" s="151">
        <v>0</v>
      </c>
      <c r="V81" s="151">
        <v>0</v>
      </c>
      <c r="W81" s="151">
        <v>0</v>
      </c>
      <c r="X81" s="151">
        <v>0</v>
      </c>
      <c r="Y81" s="151">
        <v>0</v>
      </c>
      <c r="Z81" s="151">
        <v>0</v>
      </c>
      <c r="AA81" s="151">
        <v>0</v>
      </c>
      <c r="AB81" s="152">
        <v>0</v>
      </c>
    </row>
    <row r="82" spans="1:28" s="179" customFormat="1" ht="15" customHeight="1" x14ac:dyDescent="0.2">
      <c r="A82" s="160" t="s">
        <v>784</v>
      </c>
      <c r="B82" s="150">
        <v>3</v>
      </c>
      <c r="C82" s="150" t="s">
        <v>516</v>
      </c>
      <c r="D82" s="150" t="s">
        <v>454</v>
      </c>
      <c r="E82" s="151">
        <v>0</v>
      </c>
      <c r="F82" s="151">
        <v>0</v>
      </c>
      <c r="G82" s="151">
        <v>0</v>
      </c>
      <c r="H82" s="151">
        <v>0</v>
      </c>
      <c r="I82" s="151">
        <v>0</v>
      </c>
      <c r="J82" s="151">
        <v>0</v>
      </c>
      <c r="K82" s="151">
        <v>0</v>
      </c>
      <c r="L82" s="151">
        <v>0</v>
      </c>
      <c r="M82" s="151">
        <v>0</v>
      </c>
      <c r="N82" s="151">
        <v>0</v>
      </c>
      <c r="O82" s="151">
        <v>0</v>
      </c>
      <c r="P82" s="151">
        <v>0</v>
      </c>
      <c r="Q82" s="151">
        <v>0</v>
      </c>
      <c r="R82" s="151">
        <v>0</v>
      </c>
      <c r="S82" s="153">
        <v>4</v>
      </c>
      <c r="T82" s="151">
        <v>0</v>
      </c>
      <c r="U82" s="151">
        <v>0</v>
      </c>
      <c r="V82" s="151">
        <v>0</v>
      </c>
      <c r="W82" s="151">
        <v>0</v>
      </c>
      <c r="X82" s="151">
        <v>0</v>
      </c>
      <c r="Y82" s="151">
        <v>0</v>
      </c>
      <c r="Z82" s="151">
        <v>0</v>
      </c>
      <c r="AA82" s="153">
        <v>4</v>
      </c>
      <c r="AB82" s="159">
        <v>4</v>
      </c>
    </row>
    <row r="83" spans="1:28" s="179" customFormat="1" ht="15" customHeight="1" x14ac:dyDescent="0.2">
      <c r="A83" s="149" t="s">
        <v>425</v>
      </c>
      <c r="B83" s="150">
        <v>3</v>
      </c>
      <c r="C83" s="150" t="s">
        <v>318</v>
      </c>
      <c r="D83" s="150" t="s">
        <v>292</v>
      </c>
      <c r="E83" s="151">
        <v>0</v>
      </c>
      <c r="F83" s="151">
        <v>0</v>
      </c>
      <c r="G83" s="151">
        <v>0</v>
      </c>
      <c r="H83" s="151">
        <v>0</v>
      </c>
      <c r="I83" s="151">
        <v>0</v>
      </c>
      <c r="J83" s="151">
        <v>0</v>
      </c>
      <c r="K83" s="151">
        <v>0</v>
      </c>
      <c r="L83" s="151">
        <v>0</v>
      </c>
      <c r="M83" s="151">
        <v>0</v>
      </c>
      <c r="N83" s="151">
        <v>0</v>
      </c>
      <c r="O83" s="151">
        <v>0</v>
      </c>
      <c r="P83" s="151">
        <v>0</v>
      </c>
      <c r="Q83" s="151">
        <v>0</v>
      </c>
      <c r="R83" s="151">
        <v>0</v>
      </c>
      <c r="S83" s="151">
        <v>0</v>
      </c>
      <c r="T83" s="151">
        <v>0</v>
      </c>
      <c r="U83" s="151">
        <v>0</v>
      </c>
      <c r="V83" s="151">
        <v>0</v>
      </c>
      <c r="W83" s="151">
        <v>0</v>
      </c>
      <c r="X83" s="151">
        <v>0</v>
      </c>
      <c r="Y83" s="151">
        <v>0</v>
      </c>
      <c r="Z83" s="151">
        <v>0</v>
      </c>
      <c r="AA83" s="151">
        <v>0</v>
      </c>
      <c r="AB83" s="152">
        <v>0</v>
      </c>
    </row>
    <row r="84" spans="1:28" s="179" customFormat="1" ht="15" customHeight="1" x14ac:dyDescent="0.2">
      <c r="A84" s="160" t="s">
        <v>501</v>
      </c>
      <c r="B84" s="150">
        <v>2</v>
      </c>
      <c r="C84" s="150" t="s">
        <v>516</v>
      </c>
      <c r="D84" s="150" t="s">
        <v>52</v>
      </c>
      <c r="E84" s="151">
        <v>0</v>
      </c>
      <c r="F84" s="151">
        <v>0</v>
      </c>
      <c r="G84" s="151">
        <v>0</v>
      </c>
      <c r="H84" s="151">
        <v>0</v>
      </c>
      <c r="I84" s="154">
        <v>3</v>
      </c>
      <c r="J84" s="154">
        <v>3</v>
      </c>
      <c r="K84" s="154">
        <v>3</v>
      </c>
      <c r="L84" s="151">
        <v>0</v>
      </c>
      <c r="M84" s="151">
        <v>0</v>
      </c>
      <c r="N84" s="155">
        <v>2</v>
      </c>
      <c r="O84" s="151">
        <v>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5">
        <v>2</v>
      </c>
      <c r="V84" s="151">
        <v>0</v>
      </c>
      <c r="W84" s="155">
        <v>2</v>
      </c>
      <c r="X84" s="155">
        <v>2</v>
      </c>
      <c r="Y84" s="151">
        <v>0</v>
      </c>
      <c r="Z84" s="151">
        <v>0</v>
      </c>
      <c r="AA84" s="151">
        <v>0</v>
      </c>
      <c r="AB84" s="152">
        <v>0</v>
      </c>
    </row>
    <row r="85" spans="1:28" s="179" customFormat="1" ht="15" customHeight="1" x14ac:dyDescent="0.2">
      <c r="A85" s="160" t="s">
        <v>338</v>
      </c>
      <c r="B85" s="150">
        <v>1</v>
      </c>
      <c r="C85" s="150" t="s">
        <v>516</v>
      </c>
      <c r="D85" s="150" t="s">
        <v>853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2">
        <v>0</v>
      </c>
    </row>
    <row r="86" spans="1:28" s="179" customFormat="1" ht="15" customHeight="1" x14ac:dyDescent="0.2">
      <c r="A86" s="149" t="s">
        <v>348</v>
      </c>
      <c r="B86" s="150">
        <v>2</v>
      </c>
      <c r="C86" s="150" t="s">
        <v>318</v>
      </c>
      <c r="D86" s="150" t="s">
        <v>292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0</v>
      </c>
      <c r="N86" s="151">
        <v>0</v>
      </c>
      <c r="O86" s="151">
        <v>0</v>
      </c>
      <c r="P86" s="151">
        <v>0</v>
      </c>
      <c r="Q86" s="151">
        <v>0</v>
      </c>
      <c r="R86" s="151">
        <v>0</v>
      </c>
      <c r="S86" s="151">
        <v>0</v>
      </c>
      <c r="T86" s="151">
        <v>0</v>
      </c>
      <c r="U86" s="151">
        <v>0</v>
      </c>
      <c r="V86" s="151">
        <v>0</v>
      </c>
      <c r="W86" s="151">
        <v>0</v>
      </c>
      <c r="X86" s="151">
        <v>0</v>
      </c>
      <c r="Y86" s="151">
        <v>0</v>
      </c>
      <c r="Z86" s="151">
        <v>0</v>
      </c>
      <c r="AA86" s="151">
        <v>0</v>
      </c>
      <c r="AB86" s="152">
        <v>0</v>
      </c>
    </row>
    <row r="87" spans="1:28" s="179" customFormat="1" ht="15" customHeight="1" x14ac:dyDescent="0.2">
      <c r="A87" s="160" t="s">
        <v>427</v>
      </c>
      <c r="B87" s="150">
        <v>1</v>
      </c>
      <c r="C87" s="150" t="s">
        <v>516</v>
      </c>
      <c r="D87" s="150" t="s">
        <v>51</v>
      </c>
      <c r="E87" s="151">
        <v>0</v>
      </c>
      <c r="F87" s="151">
        <v>0</v>
      </c>
      <c r="G87" s="151">
        <v>0</v>
      </c>
      <c r="H87" s="151">
        <v>0</v>
      </c>
      <c r="I87" s="151">
        <v>0</v>
      </c>
      <c r="J87" s="151">
        <v>0</v>
      </c>
      <c r="K87" s="151">
        <v>0</v>
      </c>
      <c r="L87" s="151">
        <v>0</v>
      </c>
      <c r="M87" s="151">
        <v>0</v>
      </c>
      <c r="N87" s="151">
        <v>0</v>
      </c>
      <c r="O87" s="151">
        <v>0</v>
      </c>
      <c r="P87" s="151">
        <v>0</v>
      </c>
      <c r="Q87" s="151">
        <v>0</v>
      </c>
      <c r="R87" s="151">
        <v>0</v>
      </c>
      <c r="S87" s="151">
        <v>0</v>
      </c>
      <c r="T87" s="151">
        <v>0</v>
      </c>
      <c r="U87" s="151">
        <v>0</v>
      </c>
      <c r="V87" s="151">
        <v>0</v>
      </c>
      <c r="W87" s="151">
        <v>0</v>
      </c>
      <c r="X87" s="151">
        <v>0</v>
      </c>
      <c r="Y87" s="151">
        <v>0</v>
      </c>
      <c r="Z87" s="151">
        <v>0</v>
      </c>
      <c r="AA87" s="151">
        <v>0</v>
      </c>
      <c r="AB87" s="152">
        <v>0</v>
      </c>
    </row>
    <row r="88" spans="1:28" s="179" customFormat="1" ht="15" customHeight="1" x14ac:dyDescent="0.2">
      <c r="A88" s="160" t="s">
        <v>359</v>
      </c>
      <c r="B88" s="150">
        <v>3</v>
      </c>
      <c r="C88" s="150" t="s">
        <v>516</v>
      </c>
      <c r="D88" s="150" t="s">
        <v>311</v>
      </c>
      <c r="E88" s="151">
        <v>0</v>
      </c>
      <c r="F88" s="151">
        <v>0</v>
      </c>
      <c r="G88" s="151">
        <v>0</v>
      </c>
      <c r="H88" s="153">
        <v>4</v>
      </c>
      <c r="I88" s="151">
        <v>0</v>
      </c>
      <c r="J88" s="151">
        <v>0</v>
      </c>
      <c r="K88" s="151">
        <v>0</v>
      </c>
      <c r="L88" s="151">
        <v>0</v>
      </c>
      <c r="M88" s="151">
        <v>0</v>
      </c>
      <c r="N88" s="151">
        <v>0</v>
      </c>
      <c r="O88" s="151">
        <v>0</v>
      </c>
      <c r="P88" s="151">
        <v>0</v>
      </c>
      <c r="Q88" s="151">
        <v>0</v>
      </c>
      <c r="R88" s="151">
        <v>0</v>
      </c>
      <c r="S88" s="151">
        <v>0</v>
      </c>
      <c r="T88" s="151">
        <v>0</v>
      </c>
      <c r="U88" s="151">
        <v>0</v>
      </c>
      <c r="V88" s="151">
        <v>0</v>
      </c>
      <c r="W88" s="151">
        <v>0</v>
      </c>
      <c r="X88" s="151">
        <v>0</v>
      </c>
      <c r="Y88" s="151">
        <v>0</v>
      </c>
      <c r="Z88" s="151">
        <v>0</v>
      </c>
      <c r="AA88" s="151">
        <v>0</v>
      </c>
      <c r="AB88" s="152">
        <v>0</v>
      </c>
    </row>
    <row r="89" spans="1:28" s="179" customFormat="1" ht="15" customHeight="1" x14ac:dyDescent="0.2">
      <c r="A89" s="160" t="s">
        <v>428</v>
      </c>
      <c r="B89" s="150" t="s">
        <v>281</v>
      </c>
      <c r="C89" s="150" t="s">
        <v>516</v>
      </c>
      <c r="D89" s="150" t="s">
        <v>850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2">
        <v>0</v>
      </c>
    </row>
    <row r="90" spans="1:28" s="179" customFormat="1" ht="15" customHeight="1" x14ac:dyDescent="0.2">
      <c r="A90" s="149" t="s">
        <v>429</v>
      </c>
      <c r="B90" s="150">
        <v>2</v>
      </c>
      <c r="C90" s="150" t="s">
        <v>516</v>
      </c>
      <c r="D90" s="150" t="s">
        <v>51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4">
        <v>3</v>
      </c>
      <c r="P90" s="154">
        <v>3</v>
      </c>
      <c r="Q90" s="154">
        <v>3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2">
        <v>0</v>
      </c>
    </row>
    <row r="91" spans="1:28" s="179" customFormat="1" ht="15" customHeight="1" x14ac:dyDescent="0.2">
      <c r="A91" s="160" t="s">
        <v>371</v>
      </c>
      <c r="B91" s="150">
        <v>1</v>
      </c>
      <c r="C91" s="150" t="s">
        <v>516</v>
      </c>
      <c r="D91" s="150" t="s">
        <v>853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2">
        <v>0</v>
      </c>
    </row>
    <row r="92" spans="1:28" s="179" customFormat="1" ht="15" customHeight="1" x14ac:dyDescent="0.2">
      <c r="A92" s="160" t="s">
        <v>500</v>
      </c>
      <c r="B92" s="150">
        <v>2</v>
      </c>
      <c r="C92" s="150" t="s">
        <v>516</v>
      </c>
      <c r="D92" s="150" t="s">
        <v>311</v>
      </c>
      <c r="E92" s="151">
        <v>0</v>
      </c>
      <c r="F92" s="151">
        <v>0</v>
      </c>
      <c r="G92" s="151">
        <v>0</v>
      </c>
      <c r="H92" s="154">
        <v>3</v>
      </c>
      <c r="I92" s="154">
        <v>3</v>
      </c>
      <c r="J92" s="154">
        <v>3</v>
      </c>
      <c r="K92" s="154">
        <v>3</v>
      </c>
      <c r="L92" s="151">
        <v>0</v>
      </c>
      <c r="M92" s="154">
        <v>3</v>
      </c>
      <c r="N92" s="154">
        <v>3</v>
      </c>
      <c r="O92" s="151">
        <v>0</v>
      </c>
      <c r="P92" s="151">
        <v>0</v>
      </c>
      <c r="Q92" s="151">
        <v>0</v>
      </c>
      <c r="R92" s="151">
        <v>0</v>
      </c>
      <c r="S92" s="151">
        <v>0</v>
      </c>
      <c r="T92" s="151">
        <v>0</v>
      </c>
      <c r="U92" s="151">
        <v>0</v>
      </c>
      <c r="V92" s="151">
        <v>0</v>
      </c>
      <c r="W92" s="151">
        <v>0</v>
      </c>
      <c r="X92" s="151">
        <v>0</v>
      </c>
      <c r="Y92" s="151">
        <v>0</v>
      </c>
      <c r="Z92" s="151">
        <v>0</v>
      </c>
      <c r="AA92" s="151">
        <v>0</v>
      </c>
      <c r="AB92" s="152">
        <v>0</v>
      </c>
    </row>
    <row r="93" spans="1:28" s="179" customFormat="1" ht="15" customHeight="1" x14ac:dyDescent="0.2">
      <c r="A93" s="160" t="s">
        <v>783</v>
      </c>
      <c r="B93" s="150">
        <v>2</v>
      </c>
      <c r="C93" s="150" t="s">
        <v>318</v>
      </c>
      <c r="D93" s="150" t="s">
        <v>380</v>
      </c>
      <c r="E93" s="151">
        <v>0</v>
      </c>
      <c r="F93" s="151">
        <v>0</v>
      </c>
      <c r="G93" s="151">
        <v>0</v>
      </c>
      <c r="H93" s="151">
        <v>0</v>
      </c>
      <c r="I93" s="151">
        <v>0</v>
      </c>
      <c r="J93" s="151">
        <v>0</v>
      </c>
      <c r="K93" s="151">
        <v>0</v>
      </c>
      <c r="L93" s="151">
        <v>0</v>
      </c>
      <c r="M93" s="151">
        <v>0</v>
      </c>
      <c r="N93" s="151">
        <v>0</v>
      </c>
      <c r="O93" s="151">
        <v>0</v>
      </c>
      <c r="P93" s="151">
        <v>0</v>
      </c>
      <c r="Q93" s="151">
        <v>0</v>
      </c>
      <c r="R93" s="151">
        <v>0</v>
      </c>
      <c r="S93" s="151">
        <v>0</v>
      </c>
      <c r="T93" s="151">
        <v>0</v>
      </c>
      <c r="U93" s="155">
        <v>2</v>
      </c>
      <c r="V93" s="151">
        <v>0</v>
      </c>
      <c r="W93" s="155">
        <v>2</v>
      </c>
      <c r="X93" s="155">
        <v>2</v>
      </c>
      <c r="Y93" s="153">
        <v>4</v>
      </c>
      <c r="Z93" s="151">
        <v>0</v>
      </c>
      <c r="AA93" s="151">
        <v>0</v>
      </c>
      <c r="AB93" s="152">
        <v>0</v>
      </c>
    </row>
    <row r="94" spans="1:28" s="179" customFormat="1" ht="15" customHeight="1" x14ac:dyDescent="0.2">
      <c r="A94" s="160" t="s">
        <v>357</v>
      </c>
      <c r="B94" s="150">
        <v>2</v>
      </c>
      <c r="C94" s="150" t="s">
        <v>318</v>
      </c>
      <c r="D94" s="150" t="s">
        <v>292</v>
      </c>
      <c r="E94" s="151">
        <v>0</v>
      </c>
      <c r="F94" s="151">
        <v>0</v>
      </c>
      <c r="G94" s="151">
        <v>0</v>
      </c>
      <c r="H94" s="151">
        <v>0</v>
      </c>
      <c r="I94" s="151">
        <v>0</v>
      </c>
      <c r="J94" s="151">
        <v>0</v>
      </c>
      <c r="K94" s="151">
        <v>0</v>
      </c>
      <c r="L94" s="151">
        <v>0</v>
      </c>
      <c r="M94" s="151">
        <v>0</v>
      </c>
      <c r="N94" s="151">
        <v>0</v>
      </c>
      <c r="O94" s="151">
        <v>0</v>
      </c>
      <c r="P94" s="151">
        <v>0</v>
      </c>
      <c r="Q94" s="151">
        <v>0</v>
      </c>
      <c r="R94" s="151">
        <v>0</v>
      </c>
      <c r="S94" s="151">
        <v>0</v>
      </c>
      <c r="T94" s="151">
        <v>0</v>
      </c>
      <c r="U94" s="151">
        <v>0</v>
      </c>
      <c r="V94" s="151">
        <v>0</v>
      </c>
      <c r="W94" s="151">
        <v>0</v>
      </c>
      <c r="X94" s="151">
        <v>0</v>
      </c>
      <c r="Y94" s="151">
        <v>0</v>
      </c>
      <c r="Z94" s="151">
        <v>0</v>
      </c>
      <c r="AA94" s="151">
        <v>0</v>
      </c>
      <c r="AB94" s="152">
        <v>0</v>
      </c>
    </row>
    <row r="95" spans="1:28" s="179" customFormat="1" ht="15" customHeight="1" x14ac:dyDescent="0.2">
      <c r="A95" s="149" t="s">
        <v>430</v>
      </c>
      <c r="B95" s="150">
        <v>3</v>
      </c>
      <c r="C95" s="150" t="s">
        <v>318</v>
      </c>
      <c r="D95" s="150" t="s">
        <v>292</v>
      </c>
      <c r="E95" s="151">
        <v>0</v>
      </c>
      <c r="F95" s="151">
        <v>0</v>
      </c>
      <c r="G95" s="151">
        <v>0</v>
      </c>
      <c r="H95" s="151">
        <v>0</v>
      </c>
      <c r="I95" s="151">
        <v>0</v>
      </c>
      <c r="J95" s="151">
        <v>0</v>
      </c>
      <c r="K95" s="151">
        <v>0</v>
      </c>
      <c r="L95" s="151">
        <v>0</v>
      </c>
      <c r="M95" s="151">
        <v>0</v>
      </c>
      <c r="N95" s="151">
        <v>0</v>
      </c>
      <c r="O95" s="151">
        <v>0</v>
      </c>
      <c r="P95" s="151">
        <v>0</v>
      </c>
      <c r="Q95" s="151">
        <v>0</v>
      </c>
      <c r="R95" s="151">
        <v>0</v>
      </c>
      <c r="S95" s="151">
        <v>0</v>
      </c>
      <c r="T95" s="151">
        <v>0</v>
      </c>
      <c r="U95" s="151">
        <v>0</v>
      </c>
      <c r="V95" s="151">
        <v>0</v>
      </c>
      <c r="W95" s="151">
        <v>0</v>
      </c>
      <c r="X95" s="151">
        <v>0</v>
      </c>
      <c r="Y95" s="151">
        <v>0</v>
      </c>
      <c r="Z95" s="151">
        <v>0</v>
      </c>
      <c r="AA95" s="151">
        <v>0</v>
      </c>
      <c r="AB95" s="152">
        <v>0</v>
      </c>
    </row>
    <row r="96" spans="1:28" s="179" customFormat="1" ht="15" customHeight="1" x14ac:dyDescent="0.2">
      <c r="A96" s="149" t="s">
        <v>354</v>
      </c>
      <c r="B96" s="150">
        <v>3</v>
      </c>
      <c r="C96" s="150" t="s">
        <v>516</v>
      </c>
      <c r="D96" s="150" t="s">
        <v>851</v>
      </c>
      <c r="E96" s="151">
        <v>0</v>
      </c>
      <c r="F96" s="151">
        <v>0</v>
      </c>
      <c r="G96" s="151">
        <v>0</v>
      </c>
      <c r="H96" s="151">
        <v>0</v>
      </c>
      <c r="I96" s="153">
        <v>4</v>
      </c>
      <c r="J96" s="153">
        <v>4</v>
      </c>
      <c r="K96" s="153">
        <v>4</v>
      </c>
      <c r="L96" s="151">
        <v>0</v>
      </c>
      <c r="M96" s="154">
        <v>3</v>
      </c>
      <c r="N96" s="154">
        <v>3</v>
      </c>
      <c r="O96" s="154">
        <v>3</v>
      </c>
      <c r="P96" s="154">
        <v>3</v>
      </c>
      <c r="Q96" s="154">
        <v>3</v>
      </c>
      <c r="R96" s="154">
        <v>3</v>
      </c>
      <c r="S96" s="151">
        <v>0</v>
      </c>
      <c r="T96" s="151">
        <v>0</v>
      </c>
      <c r="U96" s="151">
        <v>0</v>
      </c>
      <c r="V96" s="151">
        <v>0</v>
      </c>
      <c r="W96" s="151">
        <v>0</v>
      </c>
      <c r="X96" s="151">
        <v>0</v>
      </c>
      <c r="Y96" s="151">
        <v>0</v>
      </c>
      <c r="Z96" s="151">
        <v>0</v>
      </c>
      <c r="AA96" s="151">
        <v>0</v>
      </c>
      <c r="AB96" s="152">
        <v>0</v>
      </c>
    </row>
    <row r="97" spans="1:28" s="179" customFormat="1" ht="15" customHeight="1" x14ac:dyDescent="0.2">
      <c r="A97" s="160" t="s">
        <v>782</v>
      </c>
      <c r="B97" s="150">
        <v>2</v>
      </c>
      <c r="C97" s="150" t="s">
        <v>516</v>
      </c>
      <c r="D97" s="150" t="s">
        <v>380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4">
        <v>3</v>
      </c>
      <c r="V97" s="151">
        <v>0</v>
      </c>
      <c r="W97" s="154">
        <v>3</v>
      </c>
      <c r="X97" s="154">
        <v>3</v>
      </c>
      <c r="Y97" s="153">
        <v>4</v>
      </c>
      <c r="Z97" s="153">
        <v>4</v>
      </c>
      <c r="AA97" s="151">
        <v>0</v>
      </c>
      <c r="AB97" s="152">
        <v>0</v>
      </c>
    </row>
    <row r="98" spans="1:28" s="179" customFormat="1" ht="15" customHeight="1" x14ac:dyDescent="0.2">
      <c r="A98" s="160" t="s">
        <v>781</v>
      </c>
      <c r="B98" s="150">
        <v>1</v>
      </c>
      <c r="C98" s="150" t="s">
        <v>516</v>
      </c>
      <c r="D98" s="150" t="s">
        <v>851</v>
      </c>
      <c r="E98" s="151">
        <v>0</v>
      </c>
      <c r="F98" s="151">
        <v>0</v>
      </c>
      <c r="G98" s="151">
        <v>0</v>
      </c>
      <c r="H98" s="151">
        <v>0</v>
      </c>
      <c r="I98" s="151">
        <v>0</v>
      </c>
      <c r="J98" s="151">
        <v>0</v>
      </c>
      <c r="K98" s="151">
        <v>0</v>
      </c>
      <c r="L98" s="151">
        <v>0</v>
      </c>
      <c r="M98" s="151">
        <v>0</v>
      </c>
      <c r="N98" s="151">
        <v>0</v>
      </c>
      <c r="O98" s="151">
        <v>0</v>
      </c>
      <c r="P98" s="151">
        <v>0</v>
      </c>
      <c r="Q98" s="151">
        <v>0</v>
      </c>
      <c r="R98" s="151">
        <v>0</v>
      </c>
      <c r="S98" s="151">
        <v>0</v>
      </c>
      <c r="T98" s="151">
        <v>0</v>
      </c>
      <c r="U98" s="151">
        <v>0</v>
      </c>
      <c r="V98" s="151">
        <v>0</v>
      </c>
      <c r="W98" s="151">
        <v>0</v>
      </c>
      <c r="X98" s="151">
        <v>0</v>
      </c>
      <c r="Y98" s="151">
        <v>0</v>
      </c>
      <c r="Z98" s="151">
        <v>0</v>
      </c>
      <c r="AA98" s="151">
        <v>0</v>
      </c>
      <c r="AB98" s="152">
        <v>0</v>
      </c>
    </row>
    <row r="99" spans="1:28" s="179" customFormat="1" ht="15" customHeight="1" x14ac:dyDescent="0.2">
      <c r="A99" s="149" t="s">
        <v>780</v>
      </c>
      <c r="B99" s="150">
        <v>2</v>
      </c>
      <c r="C99" s="150" t="s">
        <v>516</v>
      </c>
      <c r="D99" s="150" t="s">
        <v>851</v>
      </c>
      <c r="E99" s="151">
        <v>0</v>
      </c>
      <c r="F99" s="151">
        <v>0</v>
      </c>
      <c r="G99" s="151">
        <v>0</v>
      </c>
      <c r="H99" s="151">
        <v>0</v>
      </c>
      <c r="I99" s="155">
        <v>2</v>
      </c>
      <c r="J99" s="155">
        <v>2</v>
      </c>
      <c r="K99" s="154">
        <v>3</v>
      </c>
      <c r="L99" s="151">
        <v>0</v>
      </c>
      <c r="M99" s="151">
        <v>0</v>
      </c>
      <c r="N99" s="154">
        <v>3</v>
      </c>
      <c r="O99" s="151">
        <v>0</v>
      </c>
      <c r="P99" s="151">
        <v>0</v>
      </c>
      <c r="Q99" s="151">
        <v>0</v>
      </c>
      <c r="R99" s="151">
        <v>0</v>
      </c>
      <c r="S99" s="151">
        <v>0</v>
      </c>
      <c r="T99" s="151">
        <v>0</v>
      </c>
      <c r="U99" s="151">
        <v>0</v>
      </c>
      <c r="V99" s="151">
        <v>0</v>
      </c>
      <c r="W99" s="151">
        <v>0</v>
      </c>
      <c r="X99" s="151">
        <v>0</v>
      </c>
      <c r="Y99" s="151">
        <v>0</v>
      </c>
      <c r="Z99" s="151">
        <v>0</v>
      </c>
      <c r="AA99" s="151">
        <v>0</v>
      </c>
      <c r="AB99" s="152">
        <v>0</v>
      </c>
    </row>
    <row r="100" spans="1:28" s="179" customFormat="1" ht="15" customHeight="1" x14ac:dyDescent="0.2">
      <c r="A100" s="149" t="s">
        <v>336</v>
      </c>
      <c r="B100" s="150">
        <v>1</v>
      </c>
      <c r="C100" s="150" t="s">
        <v>318</v>
      </c>
      <c r="D100" s="150" t="s">
        <v>292</v>
      </c>
      <c r="E100" s="151">
        <v>0</v>
      </c>
      <c r="F100" s="151">
        <v>0</v>
      </c>
      <c r="G100" s="151">
        <v>0</v>
      </c>
      <c r="H100" s="151">
        <v>0</v>
      </c>
      <c r="I100" s="151">
        <v>0</v>
      </c>
      <c r="J100" s="151">
        <v>0</v>
      </c>
      <c r="K100" s="151">
        <v>0</v>
      </c>
      <c r="L100" s="151">
        <v>0</v>
      </c>
      <c r="M100" s="151">
        <v>0</v>
      </c>
      <c r="N100" s="151">
        <v>0</v>
      </c>
      <c r="O100" s="151">
        <v>0</v>
      </c>
      <c r="P100" s="151">
        <v>0</v>
      </c>
      <c r="Q100" s="151">
        <v>0</v>
      </c>
      <c r="R100" s="151">
        <v>0</v>
      </c>
      <c r="S100" s="151">
        <v>0</v>
      </c>
      <c r="T100" s="151">
        <v>0</v>
      </c>
      <c r="U100" s="151">
        <v>0</v>
      </c>
      <c r="V100" s="151">
        <v>0</v>
      </c>
      <c r="W100" s="151">
        <v>0</v>
      </c>
      <c r="X100" s="151">
        <v>0</v>
      </c>
      <c r="Y100" s="151">
        <v>0</v>
      </c>
      <c r="Z100" s="151">
        <v>0</v>
      </c>
      <c r="AA100" s="151">
        <v>0</v>
      </c>
      <c r="AB100" s="152">
        <v>0</v>
      </c>
    </row>
    <row r="101" spans="1:28" s="179" customFormat="1" ht="15" customHeight="1" x14ac:dyDescent="0.2">
      <c r="A101" s="160" t="s">
        <v>533</v>
      </c>
      <c r="B101" s="150">
        <v>2</v>
      </c>
      <c r="C101" s="150" t="s">
        <v>516</v>
      </c>
      <c r="D101" s="150" t="s">
        <v>851</v>
      </c>
      <c r="E101" s="151">
        <v>0</v>
      </c>
      <c r="F101" s="151">
        <v>0</v>
      </c>
      <c r="G101" s="151">
        <v>0</v>
      </c>
      <c r="H101" s="151">
        <v>0</v>
      </c>
      <c r="I101" s="155">
        <v>2</v>
      </c>
      <c r="J101" s="155">
        <v>2</v>
      </c>
      <c r="K101" s="154">
        <v>3</v>
      </c>
      <c r="L101" s="151">
        <v>0</v>
      </c>
      <c r="M101" s="151">
        <v>0</v>
      </c>
      <c r="N101" s="154">
        <v>3</v>
      </c>
      <c r="O101" s="151">
        <v>0</v>
      </c>
      <c r="P101" s="151">
        <v>0</v>
      </c>
      <c r="Q101" s="151">
        <v>0</v>
      </c>
      <c r="R101" s="151">
        <v>0</v>
      </c>
      <c r="S101" s="151">
        <v>0</v>
      </c>
      <c r="T101" s="151">
        <v>0</v>
      </c>
      <c r="U101" s="151">
        <v>0</v>
      </c>
      <c r="V101" s="151">
        <v>0</v>
      </c>
      <c r="W101" s="151">
        <v>0</v>
      </c>
      <c r="X101" s="151">
        <v>0</v>
      </c>
      <c r="Y101" s="151">
        <v>0</v>
      </c>
      <c r="Z101" s="151">
        <v>0</v>
      </c>
      <c r="AA101" s="151">
        <v>0</v>
      </c>
      <c r="AB101" s="152">
        <v>0</v>
      </c>
    </row>
    <row r="102" spans="1:28" s="179" customFormat="1" ht="15" customHeight="1" x14ac:dyDescent="0.2">
      <c r="A102" s="160" t="s">
        <v>534</v>
      </c>
      <c r="B102" s="150">
        <v>3</v>
      </c>
      <c r="C102" s="150" t="s">
        <v>516</v>
      </c>
      <c r="D102" s="150" t="s">
        <v>48</v>
      </c>
      <c r="E102" s="151">
        <v>0</v>
      </c>
      <c r="F102" s="151">
        <v>0</v>
      </c>
      <c r="G102" s="153">
        <v>4</v>
      </c>
      <c r="H102" s="151">
        <v>0</v>
      </c>
      <c r="I102" s="151">
        <v>0</v>
      </c>
      <c r="J102" s="151">
        <v>0</v>
      </c>
      <c r="K102" s="151">
        <v>0</v>
      </c>
      <c r="L102" s="151">
        <v>0</v>
      </c>
      <c r="M102" s="154">
        <v>3</v>
      </c>
      <c r="N102" s="151">
        <v>0</v>
      </c>
      <c r="O102" s="155">
        <v>2</v>
      </c>
      <c r="P102" s="155">
        <v>2</v>
      </c>
      <c r="Q102" s="151">
        <v>0</v>
      </c>
      <c r="R102" s="155">
        <v>2</v>
      </c>
      <c r="S102" s="151">
        <v>0</v>
      </c>
      <c r="T102" s="151">
        <v>0</v>
      </c>
      <c r="U102" s="151">
        <v>0</v>
      </c>
      <c r="V102" s="151">
        <v>0</v>
      </c>
      <c r="W102" s="151">
        <v>0</v>
      </c>
      <c r="X102" s="151">
        <v>0</v>
      </c>
      <c r="Y102" s="151">
        <v>0</v>
      </c>
      <c r="Z102" s="151">
        <v>0</v>
      </c>
      <c r="AA102" s="151">
        <v>0</v>
      </c>
      <c r="AB102" s="152">
        <v>0</v>
      </c>
    </row>
    <row r="103" spans="1:28" s="179" customFormat="1" ht="15" customHeight="1" x14ac:dyDescent="0.2">
      <c r="A103" s="160" t="s">
        <v>779</v>
      </c>
      <c r="B103" s="150">
        <v>2</v>
      </c>
      <c r="C103" s="150" t="s">
        <v>516</v>
      </c>
      <c r="D103" s="150" t="s">
        <v>850</v>
      </c>
      <c r="E103" s="151">
        <v>0</v>
      </c>
      <c r="F103" s="151">
        <v>0</v>
      </c>
      <c r="G103" s="151">
        <v>0</v>
      </c>
      <c r="H103" s="151">
        <v>0</v>
      </c>
      <c r="I103" s="155">
        <v>2</v>
      </c>
      <c r="J103" s="155">
        <v>2</v>
      </c>
      <c r="K103" s="155">
        <v>2</v>
      </c>
      <c r="L103" s="151">
        <v>0</v>
      </c>
      <c r="M103" s="151">
        <v>0</v>
      </c>
      <c r="N103" s="155">
        <v>2</v>
      </c>
      <c r="O103" s="151">
        <v>0</v>
      </c>
      <c r="P103" s="151">
        <v>0</v>
      </c>
      <c r="Q103" s="151">
        <v>0</v>
      </c>
      <c r="R103" s="151">
        <v>0</v>
      </c>
      <c r="S103" s="151">
        <v>0</v>
      </c>
      <c r="T103" s="151">
        <v>0</v>
      </c>
      <c r="U103" s="151">
        <v>0</v>
      </c>
      <c r="V103" s="151">
        <v>0</v>
      </c>
      <c r="W103" s="151">
        <v>0</v>
      </c>
      <c r="X103" s="151">
        <v>0</v>
      </c>
      <c r="Y103" s="151">
        <v>0</v>
      </c>
      <c r="Z103" s="151">
        <v>0</v>
      </c>
      <c r="AA103" s="151">
        <v>0</v>
      </c>
      <c r="AB103" s="152">
        <v>0</v>
      </c>
    </row>
    <row r="104" spans="1:28" s="179" customFormat="1" ht="15" customHeight="1" x14ac:dyDescent="0.2">
      <c r="A104" s="160" t="s">
        <v>434</v>
      </c>
      <c r="B104" s="150">
        <v>1</v>
      </c>
      <c r="C104" s="150" t="s">
        <v>516</v>
      </c>
      <c r="D104" s="150" t="s">
        <v>853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2">
        <v>0</v>
      </c>
    </row>
    <row r="105" spans="1:28" s="179" customFormat="1" ht="15" customHeight="1" x14ac:dyDescent="0.2">
      <c r="A105" s="149" t="s">
        <v>431</v>
      </c>
      <c r="B105" s="150">
        <v>2</v>
      </c>
      <c r="C105" s="150" t="s">
        <v>318</v>
      </c>
      <c r="D105" s="150" t="s">
        <v>292</v>
      </c>
      <c r="E105" s="151">
        <v>0</v>
      </c>
      <c r="F105" s="151">
        <v>0</v>
      </c>
      <c r="G105" s="151">
        <v>0</v>
      </c>
      <c r="H105" s="151">
        <v>0</v>
      </c>
      <c r="I105" s="151">
        <v>0</v>
      </c>
      <c r="J105" s="151">
        <v>0</v>
      </c>
      <c r="K105" s="151">
        <v>0</v>
      </c>
      <c r="L105" s="151">
        <v>0</v>
      </c>
      <c r="M105" s="151">
        <v>0</v>
      </c>
      <c r="N105" s="151">
        <v>0</v>
      </c>
      <c r="O105" s="151">
        <v>0</v>
      </c>
      <c r="P105" s="151">
        <v>0</v>
      </c>
      <c r="Q105" s="151">
        <v>0</v>
      </c>
      <c r="R105" s="151">
        <v>0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2">
        <v>0</v>
      </c>
    </row>
    <row r="106" spans="1:28" s="179" customFormat="1" ht="15" customHeight="1" x14ac:dyDescent="0.2">
      <c r="A106" s="149" t="s">
        <v>777</v>
      </c>
      <c r="B106" s="150">
        <v>2</v>
      </c>
      <c r="C106" s="150" t="s">
        <v>680</v>
      </c>
      <c r="D106" s="150" t="s">
        <v>513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2">
        <v>0</v>
      </c>
    </row>
    <row r="107" spans="1:28" s="179" customFormat="1" ht="15" customHeight="1" x14ac:dyDescent="0.2">
      <c r="A107" s="160" t="s">
        <v>467</v>
      </c>
      <c r="B107" s="150">
        <v>1</v>
      </c>
      <c r="C107" s="150" t="s">
        <v>516</v>
      </c>
      <c r="D107" s="150" t="s">
        <v>311</v>
      </c>
      <c r="E107" s="151">
        <v>0</v>
      </c>
      <c r="F107" s="151">
        <v>0</v>
      </c>
      <c r="G107" s="151">
        <v>0</v>
      </c>
      <c r="H107" s="151">
        <v>0</v>
      </c>
      <c r="I107" s="151">
        <v>0</v>
      </c>
      <c r="J107" s="151">
        <v>0</v>
      </c>
      <c r="K107" s="151">
        <v>0</v>
      </c>
      <c r="L107" s="151">
        <v>0</v>
      </c>
      <c r="M107" s="151">
        <v>0</v>
      </c>
      <c r="N107" s="151">
        <v>0</v>
      </c>
      <c r="O107" s="151">
        <v>0</v>
      </c>
      <c r="P107" s="151">
        <v>0</v>
      </c>
      <c r="Q107" s="151">
        <v>0</v>
      </c>
      <c r="R107" s="151">
        <v>0</v>
      </c>
      <c r="S107" s="151">
        <v>0</v>
      </c>
      <c r="T107" s="151">
        <v>0</v>
      </c>
      <c r="U107" s="151">
        <v>0</v>
      </c>
      <c r="V107" s="151">
        <v>0</v>
      </c>
      <c r="W107" s="151">
        <v>0</v>
      </c>
      <c r="X107" s="151">
        <v>0</v>
      </c>
      <c r="Y107" s="151">
        <v>0</v>
      </c>
      <c r="Z107" s="151">
        <v>0</v>
      </c>
      <c r="AA107" s="151">
        <v>0</v>
      </c>
      <c r="AB107" s="152">
        <v>0</v>
      </c>
    </row>
    <row r="108" spans="1:28" s="179" customFormat="1" ht="15" customHeight="1" x14ac:dyDescent="0.2">
      <c r="A108" s="160" t="s">
        <v>339</v>
      </c>
      <c r="B108" s="150">
        <v>2</v>
      </c>
      <c r="C108" s="150" t="s">
        <v>516</v>
      </c>
      <c r="D108" s="150" t="s">
        <v>51</v>
      </c>
      <c r="E108" s="151">
        <v>0</v>
      </c>
      <c r="F108" s="151">
        <v>0</v>
      </c>
      <c r="G108" s="151">
        <v>0</v>
      </c>
      <c r="H108" s="151">
        <v>0</v>
      </c>
      <c r="I108" s="151">
        <v>0</v>
      </c>
      <c r="J108" s="151">
        <v>0</v>
      </c>
      <c r="K108" s="151">
        <v>0</v>
      </c>
      <c r="L108" s="151">
        <v>0</v>
      </c>
      <c r="M108" s="151">
        <v>0</v>
      </c>
      <c r="N108" s="151">
        <v>0</v>
      </c>
      <c r="O108" s="153">
        <v>4</v>
      </c>
      <c r="P108" s="153">
        <v>4</v>
      </c>
      <c r="Q108" s="153">
        <v>4</v>
      </c>
      <c r="R108" s="151">
        <v>0</v>
      </c>
      <c r="S108" s="151">
        <v>0</v>
      </c>
      <c r="T108" s="151">
        <v>0</v>
      </c>
      <c r="U108" s="151">
        <v>0</v>
      </c>
      <c r="V108" s="151">
        <v>0</v>
      </c>
      <c r="W108" s="151">
        <v>0</v>
      </c>
      <c r="X108" s="151">
        <v>0</v>
      </c>
      <c r="Y108" s="151">
        <v>0</v>
      </c>
      <c r="Z108" s="151">
        <v>0</v>
      </c>
      <c r="AA108" s="151">
        <v>0</v>
      </c>
      <c r="AB108" s="152">
        <v>0</v>
      </c>
    </row>
    <row r="109" spans="1:28" s="148" customFormat="1" ht="15" customHeight="1" x14ac:dyDescent="0.2">
      <c r="A109" s="140"/>
      <c r="B109" s="139"/>
      <c r="C109" s="141"/>
      <c r="D109" s="141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3"/>
    </row>
    <row r="110" spans="1:28" s="148" customFormat="1" ht="1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148" customFormat="1" ht="1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148" customFormat="1" ht="1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148" customFormat="1" ht="1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148" customFormat="1" ht="1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148" customFormat="1" ht="1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148" customFormat="1" ht="1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148" customFormat="1" ht="1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148" customFormat="1" ht="1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148" customFormat="1" ht="1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148" customFormat="1" ht="1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148" customFormat="1" ht="1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148" customFormat="1" ht="1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148" customFormat="1" ht="1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148" customFormat="1" ht="1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148" customFormat="1" ht="1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148" customFormat="1" ht="1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148" customFormat="1" ht="1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148" customFormat="1" ht="1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148" customFormat="1" ht="1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148" customFormat="1" ht="1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148" customFormat="1" ht="1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148" customFormat="1" ht="1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148" customFormat="1" ht="1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148" customFormat="1" ht="1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148" customFormat="1" ht="1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148" customFormat="1" ht="1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148" customFormat="1" ht="1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148" customFormat="1" ht="1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148" customFormat="1" ht="1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148" customFormat="1" ht="1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148" customFormat="1" ht="1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148" customFormat="1" ht="1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148" customFormat="1" ht="1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148" customFormat="1" ht="1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148" customFormat="1" ht="1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148" customFormat="1" ht="1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148" customFormat="1" ht="1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148" customFormat="1" ht="1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148" customFormat="1" ht="1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148" customFormat="1" ht="1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148" customFormat="1" ht="1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148" customFormat="1" ht="1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148" customFormat="1" ht="1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148" customFormat="1" ht="1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148" customFormat="1" ht="1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148" customFormat="1" ht="1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148" customFormat="1" ht="1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148" customFormat="1" ht="1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148" customFormat="1" ht="1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148" customFormat="1" ht="1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148" customFormat="1" ht="1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148" customFormat="1" ht="1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148" customFormat="1" ht="1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148" customFormat="1" ht="1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148" customFormat="1" ht="1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148" customFormat="1" ht="1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148" customFormat="1" ht="1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148" customFormat="1" ht="1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148" customFormat="1" ht="1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148" customFormat="1" ht="1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148" customFormat="1" ht="1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148" customFormat="1" ht="1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148" customFormat="1" ht="1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148" customFormat="1" ht="1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148" customFormat="1" ht="1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148" customFormat="1" ht="1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148" customFormat="1" ht="1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148" customFormat="1" ht="1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148" customFormat="1" ht="1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148" customFormat="1" ht="1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148" customFormat="1" ht="1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148" customFormat="1" ht="1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148" customFormat="1" ht="1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148" customFormat="1" ht="1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148" customFormat="1" ht="1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148" customFormat="1" ht="1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148" customFormat="1" ht="1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148" customFormat="1" ht="1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148" customFormat="1" ht="1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148" customFormat="1" ht="1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148" customFormat="1" ht="1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148" customFormat="1" ht="1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148" customFormat="1" ht="1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148" customFormat="1" ht="1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148" customFormat="1" ht="1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148" customFormat="1" ht="1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148" customFormat="1" ht="1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148" customFormat="1" ht="1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148" customFormat="1" ht="1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148" customFormat="1" ht="1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148" customFormat="1" ht="1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148" customFormat="1" ht="1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148" customFormat="1" ht="1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148" customFormat="1" ht="1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148" customFormat="1" ht="1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148" customFormat="1" ht="1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148" customFormat="1" ht="1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148" customFormat="1" ht="1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148" customFormat="1" ht="1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148" customFormat="1" ht="1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148" customFormat="1" ht="1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148" customFormat="1" ht="1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148" customFormat="1" ht="1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148" customFormat="1" ht="1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148" customFormat="1" ht="1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148" customFormat="1" ht="1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148" customFormat="1" ht="1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148" customFormat="1" ht="1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148" customFormat="1" ht="1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148" customFormat="1" ht="1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148" customFormat="1" ht="1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148" customFormat="1" ht="1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148" customFormat="1" ht="15" customHeight="1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148" customFormat="1" ht="15" customHeigh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148" customFormat="1" ht="15" customHeight="1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148" customFormat="1" ht="15" customHeight="1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148" customFormat="1" ht="15" customHeight="1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148" customFormat="1" ht="15" customHeight="1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148" customFormat="1" ht="15" customHeight="1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148" customFormat="1" ht="15" customHeight="1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148" customFormat="1" ht="15" customHeight="1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148" customFormat="1" ht="15" customHeight="1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148" customFormat="1" ht="15" customHeight="1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148" customFormat="1" ht="15" customHeight="1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148" customFormat="1" ht="15" customHeight="1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148" customFormat="1" ht="15" customHeight="1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148" customFormat="1" ht="15" customHeight="1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148" customFormat="1" ht="15" customHeight="1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148" customFormat="1" ht="15" customHeight="1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148" customFormat="1" ht="15" customHeight="1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148" customFormat="1" ht="15" customHeight="1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148" customFormat="1" ht="15" customHeight="1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148" customFormat="1" ht="15" customHeight="1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148" customFormat="1" ht="15" customHeight="1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148" customFormat="1" ht="15" customHeight="1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148" customFormat="1" ht="15" customHeigh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148" customFormat="1" ht="15" customHeight="1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148" customFormat="1" ht="15" customHeight="1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148" customFormat="1" ht="15" customHeight="1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148" customFormat="1" ht="15" customHeight="1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148" customFormat="1" ht="15" customHeight="1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148" customFormat="1" ht="15" customHeight="1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148" customFormat="1" ht="15" customHeight="1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148" customFormat="1" ht="15" customHeight="1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148" customFormat="1" ht="15" customHeight="1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148" customFormat="1" ht="15" customHeight="1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148" customFormat="1" ht="15" customHeight="1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148" customFormat="1" ht="15" customHeight="1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148" customFormat="1" ht="15" customHeight="1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148" customFormat="1" ht="15" customHeight="1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148" customFormat="1" ht="15" customHeight="1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148" customFormat="1" ht="15" customHeight="1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148" customFormat="1" ht="15" customHeight="1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148" customFormat="1" ht="15" customHeight="1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148" customFormat="1" ht="15" customHeight="1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148" customFormat="1" ht="15" customHeight="1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148" customFormat="1" ht="15" customHeight="1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148" customFormat="1" ht="15" customHeight="1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148" customFormat="1" ht="15" customHeight="1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148" customFormat="1" ht="15" customHeight="1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148" customFormat="1" ht="15" customHeight="1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148" customFormat="1" ht="15" customHeight="1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148" customFormat="1" ht="15" customHeight="1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148" customFormat="1" ht="15" customHeight="1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148" customFormat="1" ht="15" customHeight="1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148" customFormat="1" ht="15" customHeight="1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148" customFormat="1" ht="15" customHeight="1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148" customFormat="1" ht="15" customHeight="1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148" customFormat="1" ht="15" customHeight="1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148" customFormat="1" ht="15" customHeight="1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148" customFormat="1" ht="15" customHeight="1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148" customFormat="1" ht="15" customHeight="1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148" customFormat="1" ht="15" customHeight="1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148" customFormat="1" ht="15" customHeight="1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148" customFormat="1" ht="15" customHeight="1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148" customFormat="1" ht="15" customHeight="1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148" customFormat="1" ht="15" customHeight="1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148" customFormat="1" ht="15" customHeight="1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148" customFormat="1" ht="15" customHeight="1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148" customFormat="1" ht="15" customHeight="1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148" customFormat="1" ht="15" customHeight="1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148" customFormat="1" ht="15" customHeight="1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148" customFormat="1" ht="15" customHeight="1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148" customFormat="1" ht="15" customHeight="1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148" customFormat="1" ht="15" customHeight="1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148" customFormat="1" ht="15" customHeight="1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148" customFormat="1" ht="15" customHeight="1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148" customFormat="1" ht="15" customHeight="1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148" customFormat="1" ht="15" customHeight="1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148" customFormat="1" ht="15" customHeight="1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148" customFormat="1" ht="15" customHeight="1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148" customFormat="1" ht="15" customHeight="1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148" customFormat="1" ht="15" customHeight="1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148" customFormat="1" ht="15" customHeight="1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148" customFormat="1" ht="15" customHeight="1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148" customFormat="1" ht="15" customHeight="1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148" customFormat="1" ht="15" customHeight="1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148" customFormat="1" ht="15" customHeight="1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148" customFormat="1" ht="15" customHeight="1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148" customFormat="1" ht="15" customHeight="1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147" customFormat="1" ht="15" customHeight="1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</sheetData>
  <mergeCells count="1">
    <mergeCell ref="A1:D6"/>
  </mergeCells>
  <dataValidations count="1">
    <dataValidation type="list" allowBlank="1" showErrorMessage="1" errorTitle="Training Level" error="Please select appropriate training level." sqref="E8:AB109">
      <formula1>TrainingLevel</formula1>
    </dataValidation>
  </dataValidations>
  <hyperlinks>
    <hyperlink ref="A8" r:id="rId1"/>
    <hyperlink ref="A9" r:id="rId2"/>
    <hyperlink ref="A10" r:id="rId3"/>
    <hyperlink ref="A11" r:id="rId4"/>
    <hyperlink ref="A12" r:id="rId5"/>
    <hyperlink ref="A17" r:id="rId6"/>
    <hyperlink ref="A18" r:id="rId7"/>
    <hyperlink ref="A19" r:id="rId8"/>
    <hyperlink ref="A23" r:id="rId9"/>
    <hyperlink ref="A24" r:id="rId10"/>
    <hyperlink ref="A25" r:id="rId11"/>
    <hyperlink ref="A28" r:id="rId12"/>
    <hyperlink ref="A29" r:id="rId13"/>
    <hyperlink ref="A30" r:id="rId14"/>
    <hyperlink ref="A32" r:id="rId15"/>
    <hyperlink ref="A34" r:id="rId16"/>
    <hyperlink ref="A36" r:id="rId17"/>
    <hyperlink ref="A38" r:id="rId18"/>
    <hyperlink ref="A39" r:id="rId19"/>
    <hyperlink ref="A41" r:id="rId20"/>
    <hyperlink ref="A43" r:id="rId21"/>
    <hyperlink ref="A44" r:id="rId22"/>
    <hyperlink ref="A46" r:id="rId23"/>
    <hyperlink ref="A48" r:id="rId24"/>
    <hyperlink ref="A50" r:id="rId25"/>
    <hyperlink ref="A51" r:id="rId26"/>
    <hyperlink ref="A52" r:id="rId27"/>
    <hyperlink ref="A53" r:id="rId28"/>
    <hyperlink ref="A54" r:id="rId29"/>
    <hyperlink ref="A55" r:id="rId30"/>
    <hyperlink ref="A56" r:id="rId31"/>
    <hyperlink ref="A57" r:id="rId32"/>
    <hyperlink ref="A58" r:id="rId33"/>
    <hyperlink ref="A60" r:id="rId34"/>
    <hyperlink ref="A63" r:id="rId35"/>
    <hyperlink ref="A64" r:id="rId36"/>
    <hyperlink ref="A65" r:id="rId37"/>
    <hyperlink ref="A69" r:id="rId38"/>
    <hyperlink ref="A70" r:id="rId39"/>
    <hyperlink ref="A71" r:id="rId40"/>
    <hyperlink ref="A72" r:id="rId41"/>
    <hyperlink ref="A73" r:id="rId42"/>
    <hyperlink ref="A75" r:id="rId43"/>
    <hyperlink ref="A77" r:id="rId44"/>
    <hyperlink ref="A80" r:id="rId45"/>
    <hyperlink ref="A81" r:id="rId46"/>
    <hyperlink ref="A82" r:id="rId47"/>
    <hyperlink ref="A84" r:id="rId48"/>
    <hyperlink ref="A85" r:id="rId49"/>
    <hyperlink ref="A87" r:id="rId50"/>
    <hyperlink ref="A88" r:id="rId51"/>
    <hyperlink ref="A89" r:id="rId52"/>
    <hyperlink ref="A91" r:id="rId53"/>
    <hyperlink ref="A92" r:id="rId54"/>
    <hyperlink ref="A93" r:id="rId55"/>
    <hyperlink ref="A94" r:id="rId56"/>
    <hyperlink ref="A97" r:id="rId57"/>
    <hyperlink ref="A98" r:id="rId58"/>
    <hyperlink ref="A101" r:id="rId59"/>
    <hyperlink ref="A102" r:id="rId60"/>
    <hyperlink ref="A103" r:id="rId61"/>
    <hyperlink ref="A104" r:id="rId62"/>
    <hyperlink ref="A107" r:id="rId63"/>
    <hyperlink ref="A108" r:id="rId64"/>
  </hyperlinks>
  <pageMargins left="0.7" right="0.7" top="0.75" bottom="0.75" header="0.3" footer="0.3"/>
  <pageSetup orientation="portrait" r:id="rId65"/>
  <drawing r:id="rId66"/>
  <legacyDrawing r:id="rId67"/>
  <controls>
    <mc:AlternateContent xmlns:mc="http://schemas.openxmlformats.org/markup-compatibility/2006">
      <mc:Choice Requires="x14">
        <control shapeId="19463" r:id="rId68" name="cmdUpdate">
          <controlPr autoLine="0" r:id="rId69">
            <anchor moveWithCells="1">
              <from>
                <xdr:col>0</xdr:col>
                <xdr:colOff>28575</xdr:colOff>
                <xdr:row>6</xdr:row>
                <xdr:rowOff>19050</xdr:rowOff>
              </from>
              <to>
                <xdr:col>0</xdr:col>
                <xdr:colOff>1323975</xdr:colOff>
                <xdr:row>6</xdr:row>
                <xdr:rowOff>295275</xdr:rowOff>
              </to>
            </anchor>
          </controlPr>
        </control>
      </mc:Choice>
      <mc:Fallback>
        <control shapeId="19463" r:id="rId68" name="cmdUpdate"/>
      </mc:Fallback>
    </mc:AlternateContent>
  </controls>
  <tableParts count="1">
    <tablePart r:id="rId7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1" operator="containsText" id="{EA0518CB-EED6-409D-9AFC-99C235D68D98}">
            <xm:f>NOT(ISERROR(SEARCH(4,E8)))</xm:f>
            <xm:f>4</xm:f>
            <x14:dxf>
              <fill>
                <patternFill>
                  <bgColor rgb="FF00B050"/>
                </patternFill>
              </fill>
            </x14:dxf>
          </x14:cfRule>
          <x14:cfRule type="containsText" priority="72" operator="containsText" id="{90A2A8BD-7CA9-4FF8-8E63-35399B92A4A6}">
            <xm:f>NOT(ISERROR(SEARCH(3,E8)))</xm:f>
            <xm:f>3</xm:f>
            <x14:dxf>
              <fill>
                <patternFill>
                  <bgColor rgb="FF92D050"/>
                </patternFill>
              </fill>
            </x14:dxf>
          </x14:cfRule>
          <x14:cfRule type="containsText" priority="73" operator="containsText" id="{669F57E3-6BE5-4006-A951-7EE875E38403}">
            <xm:f>NOT(ISERROR(SEARCH(2,E8)))</xm:f>
            <xm:f>2</xm:f>
            <x14:dxf>
              <fill>
                <patternFill>
                  <bgColor rgb="FFFFFF00"/>
                </patternFill>
              </fill>
            </x14:dxf>
          </x14:cfRule>
          <x14:cfRule type="containsText" priority="74" operator="containsText" id="{6070A605-69FF-4C90-A3DB-3BE3B7E28B11}">
            <xm:f>NOT(ISERROR(SEARCH(1,E8)))</xm:f>
            <xm:f>1</xm:f>
            <x14:dxf>
              <fill>
                <patternFill>
                  <bgColor rgb="FFFFC000"/>
                </patternFill>
              </fill>
            </x14:dxf>
          </x14:cfRule>
          <x14:cfRule type="containsText" priority="75" operator="containsText" id="{60723541-2189-441F-9EB7-656A6A825EF7}">
            <xm:f>NOT(ISERROR(SEARCH(0,E8)))</xm:f>
            <xm:f>0</xm:f>
            <x14:dxf>
              <fill>
                <patternFill>
                  <bgColor rgb="FFFF0000"/>
                </patternFill>
              </fill>
            </x14:dxf>
          </x14:cfRule>
          <xm:sqref>E8:AB109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2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I174" sqref="I174"/>
    </sheetView>
  </sheetViews>
  <sheetFormatPr defaultRowHeight="21.75" customHeight="1" x14ac:dyDescent="0.2"/>
  <cols>
    <col min="1" max="1" width="3.625" customWidth="1"/>
    <col min="2" max="2" width="15.625" customWidth="1"/>
    <col min="3" max="3" width="10.375" customWidth="1"/>
    <col min="4" max="4" width="17.875" bestFit="1" customWidth="1"/>
    <col min="5" max="5" width="6.125" customWidth="1"/>
    <col min="6" max="6" width="6.125" style="57" customWidth="1"/>
    <col min="7" max="10" width="9" style="57"/>
  </cols>
  <sheetData>
    <row r="1" spans="1:10" ht="21.75" customHeight="1" x14ac:dyDescent="0.2">
      <c r="G1" s="57">
        <v>12</v>
      </c>
      <c r="H1" s="57">
        <v>13</v>
      </c>
      <c r="I1" s="57">
        <v>14</v>
      </c>
      <c r="J1" s="57">
        <v>15</v>
      </c>
    </row>
    <row r="2" spans="1:10" ht="21.75" customHeight="1" x14ac:dyDescent="0.2">
      <c r="A2" s="58"/>
      <c r="B2" s="59" t="s">
        <v>257</v>
      </c>
      <c r="C2" s="60" t="s">
        <v>256</v>
      </c>
      <c r="D2" s="59" t="s">
        <v>255</v>
      </c>
      <c r="E2" s="59" t="s">
        <v>53</v>
      </c>
      <c r="F2" s="61" t="s">
        <v>657</v>
      </c>
      <c r="G2" s="62" t="s">
        <v>277</v>
      </c>
      <c r="H2" s="62" t="s">
        <v>278</v>
      </c>
      <c r="I2" s="62" t="s">
        <v>279</v>
      </c>
      <c r="J2" s="62" t="s">
        <v>280</v>
      </c>
    </row>
    <row r="3" spans="1:10" ht="21.75" customHeight="1" x14ac:dyDescent="0.2">
      <c r="A3" s="63">
        <v>1</v>
      </c>
      <c r="B3" s="64" t="s">
        <v>254</v>
      </c>
      <c r="C3" s="65">
        <v>28871</v>
      </c>
      <c r="D3" s="64" t="s">
        <v>139</v>
      </c>
      <c r="E3" s="66" t="s">
        <v>96</v>
      </c>
      <c r="F3" s="67"/>
    </row>
    <row r="4" spans="1:10" ht="21.75" customHeight="1" x14ac:dyDescent="0.2">
      <c r="A4" s="63">
        <f t="shared" ref="A4:A67" si="0">A3+1</f>
        <v>2</v>
      </c>
      <c r="B4" s="64" t="s">
        <v>253</v>
      </c>
      <c r="C4" s="65">
        <v>28886</v>
      </c>
      <c r="D4" s="64" t="s">
        <v>195</v>
      </c>
      <c r="E4" s="64" t="s">
        <v>96</v>
      </c>
      <c r="F4" s="68"/>
      <c r="G4"/>
      <c r="H4"/>
      <c r="I4"/>
      <c r="J4"/>
    </row>
    <row r="5" spans="1:10" ht="21.75" customHeight="1" x14ac:dyDescent="0.2">
      <c r="A5" s="63">
        <f t="shared" si="0"/>
        <v>3</v>
      </c>
      <c r="B5" s="64" t="s">
        <v>252</v>
      </c>
      <c r="C5" s="65">
        <v>29227</v>
      </c>
      <c r="D5" s="64" t="s">
        <v>161</v>
      </c>
      <c r="E5" s="64" t="s">
        <v>96</v>
      </c>
      <c r="F5" s="68"/>
      <c r="G5"/>
      <c r="H5"/>
      <c r="I5"/>
      <c r="J5"/>
    </row>
    <row r="6" spans="1:10" ht="21.75" customHeight="1" x14ac:dyDescent="0.2">
      <c r="A6" s="63">
        <f t="shared" si="0"/>
        <v>4</v>
      </c>
      <c r="B6" s="64" t="s">
        <v>251</v>
      </c>
      <c r="C6" s="65">
        <v>29228</v>
      </c>
      <c r="D6" s="64" t="s">
        <v>139</v>
      </c>
      <c r="E6" s="66" t="s">
        <v>96</v>
      </c>
      <c r="F6" s="67"/>
    </row>
    <row r="7" spans="1:10" ht="21.75" customHeight="1" x14ac:dyDescent="0.2">
      <c r="A7" s="63">
        <f t="shared" si="0"/>
        <v>5</v>
      </c>
      <c r="B7" s="64" t="s">
        <v>250</v>
      </c>
      <c r="C7" s="65">
        <v>29229</v>
      </c>
      <c r="D7" s="64" t="s">
        <v>179</v>
      </c>
      <c r="E7" s="64" t="s">
        <v>96</v>
      </c>
      <c r="F7" s="68"/>
      <c r="G7"/>
      <c r="H7"/>
      <c r="I7"/>
      <c r="J7"/>
    </row>
    <row r="8" spans="1:10" ht="21.75" customHeight="1" x14ac:dyDescent="0.2">
      <c r="A8" s="63">
        <f t="shared" si="0"/>
        <v>6</v>
      </c>
      <c r="B8" s="64" t="s">
        <v>249</v>
      </c>
      <c r="C8" s="65">
        <v>29255</v>
      </c>
      <c r="D8" s="64" t="s">
        <v>195</v>
      </c>
      <c r="E8" s="64" t="s">
        <v>96</v>
      </c>
      <c r="F8" s="68"/>
      <c r="G8"/>
      <c r="H8"/>
      <c r="I8"/>
      <c r="J8"/>
    </row>
    <row r="9" spans="1:10" ht="21.75" customHeight="1" x14ac:dyDescent="0.2">
      <c r="A9" s="63">
        <f t="shared" si="0"/>
        <v>7</v>
      </c>
      <c r="B9" s="64" t="s">
        <v>248</v>
      </c>
      <c r="C9" s="65">
        <v>29325</v>
      </c>
      <c r="D9" s="64" t="s">
        <v>197</v>
      </c>
      <c r="E9" s="64" t="s">
        <v>96</v>
      </c>
      <c r="F9" s="68"/>
      <c r="G9"/>
      <c r="H9"/>
      <c r="I9" s="69"/>
      <c r="J9"/>
    </row>
    <row r="10" spans="1:10" ht="21.75" customHeight="1" x14ac:dyDescent="0.2">
      <c r="A10" s="70">
        <f t="shared" si="0"/>
        <v>8</v>
      </c>
      <c r="B10" s="4" t="s">
        <v>247</v>
      </c>
      <c r="C10" s="5">
        <v>29976</v>
      </c>
      <c r="D10" s="4" t="s">
        <v>139</v>
      </c>
      <c r="E10" s="66" t="s">
        <v>90</v>
      </c>
      <c r="F10" s="71"/>
    </row>
    <row r="11" spans="1:10" ht="21.75" customHeight="1" x14ac:dyDescent="0.2">
      <c r="A11" s="70">
        <f t="shared" si="0"/>
        <v>9</v>
      </c>
      <c r="B11" s="4" t="s">
        <v>246</v>
      </c>
      <c r="C11" s="5">
        <v>29983</v>
      </c>
      <c r="D11" s="4" t="s">
        <v>197</v>
      </c>
      <c r="E11" s="4" t="s">
        <v>96</v>
      </c>
      <c r="F11" s="68"/>
      <c r="G11"/>
      <c r="H11"/>
      <c r="I11"/>
      <c r="J11"/>
    </row>
    <row r="12" spans="1:10" ht="21.75" customHeight="1" x14ac:dyDescent="0.2">
      <c r="A12" s="70">
        <f t="shared" si="0"/>
        <v>10</v>
      </c>
      <c r="B12" s="4" t="s">
        <v>245</v>
      </c>
      <c r="C12" s="5">
        <v>30874</v>
      </c>
      <c r="D12" s="4" t="s">
        <v>195</v>
      </c>
      <c r="E12" s="4" t="s">
        <v>96</v>
      </c>
      <c r="F12" s="68"/>
      <c r="G12"/>
      <c r="H12"/>
      <c r="I12"/>
      <c r="J12"/>
    </row>
    <row r="13" spans="1:10" ht="21.75" customHeight="1" x14ac:dyDescent="0.2">
      <c r="A13" s="70">
        <f t="shared" si="0"/>
        <v>11</v>
      </c>
      <c r="B13" s="4" t="s">
        <v>244</v>
      </c>
      <c r="C13" s="5">
        <v>30874</v>
      </c>
      <c r="D13" s="4" t="s">
        <v>195</v>
      </c>
      <c r="E13" s="4" t="s">
        <v>96</v>
      </c>
      <c r="F13" s="68"/>
      <c r="G13"/>
      <c r="H13"/>
      <c r="I13"/>
      <c r="J13"/>
    </row>
    <row r="14" spans="1:10" ht="21.75" customHeight="1" x14ac:dyDescent="0.2">
      <c r="A14" s="70">
        <f t="shared" si="0"/>
        <v>12</v>
      </c>
      <c r="B14" s="4" t="s">
        <v>243</v>
      </c>
      <c r="C14" s="5">
        <v>30914</v>
      </c>
      <c r="D14" s="4" t="s">
        <v>161</v>
      </c>
      <c r="E14" s="4" t="s">
        <v>96</v>
      </c>
      <c r="F14" s="68"/>
      <c r="G14"/>
      <c r="H14"/>
      <c r="I14"/>
      <c r="J14"/>
    </row>
    <row r="15" spans="1:10" ht="21.75" customHeight="1" x14ac:dyDescent="0.2">
      <c r="A15" s="70">
        <f t="shared" si="0"/>
        <v>13</v>
      </c>
      <c r="B15" s="4" t="s">
        <v>242</v>
      </c>
      <c r="C15" s="5">
        <v>30921</v>
      </c>
      <c r="D15" s="4" t="s">
        <v>139</v>
      </c>
      <c r="E15" s="66" t="s">
        <v>96</v>
      </c>
      <c r="F15" s="71"/>
    </row>
    <row r="16" spans="1:10" ht="21.75" customHeight="1" x14ac:dyDescent="0.2">
      <c r="A16" s="70">
        <f t="shared" si="0"/>
        <v>14</v>
      </c>
      <c r="B16" s="4" t="s">
        <v>241</v>
      </c>
      <c r="C16" s="5">
        <v>30929</v>
      </c>
      <c r="D16" s="4" t="s">
        <v>130</v>
      </c>
      <c r="E16" s="4" t="s">
        <v>96</v>
      </c>
      <c r="F16" s="68"/>
      <c r="G16"/>
      <c r="H16"/>
      <c r="I16"/>
      <c r="J16"/>
    </row>
    <row r="17" spans="1:10" ht="21.75" customHeight="1" x14ac:dyDescent="0.2">
      <c r="A17" s="70">
        <f t="shared" si="0"/>
        <v>15</v>
      </c>
      <c r="B17" s="4" t="s">
        <v>240</v>
      </c>
      <c r="C17" s="5">
        <v>31271</v>
      </c>
      <c r="D17" s="4" t="s">
        <v>195</v>
      </c>
      <c r="E17" s="4" t="s">
        <v>96</v>
      </c>
      <c r="F17" s="68"/>
      <c r="G17"/>
      <c r="H17"/>
      <c r="I17"/>
      <c r="J17"/>
    </row>
    <row r="18" spans="1:10" ht="21.75" customHeight="1" x14ac:dyDescent="0.2">
      <c r="A18" s="70">
        <f t="shared" si="0"/>
        <v>16</v>
      </c>
      <c r="B18" s="4" t="s">
        <v>239</v>
      </c>
      <c r="C18" s="5">
        <v>31425</v>
      </c>
      <c r="D18" s="4" t="s">
        <v>139</v>
      </c>
      <c r="E18" s="66" t="s">
        <v>96</v>
      </c>
      <c r="F18" s="71"/>
    </row>
    <row r="19" spans="1:10" ht="21.75" customHeight="1" x14ac:dyDescent="0.2">
      <c r="A19" s="70">
        <f t="shared" si="0"/>
        <v>17</v>
      </c>
      <c r="B19" s="4" t="s">
        <v>238</v>
      </c>
      <c r="C19" s="5">
        <v>31439</v>
      </c>
      <c r="D19" s="4" t="s">
        <v>218</v>
      </c>
      <c r="E19" s="4" t="s">
        <v>96</v>
      </c>
      <c r="F19" s="68"/>
      <c r="G19"/>
      <c r="H19"/>
      <c r="I19"/>
      <c r="J19"/>
    </row>
    <row r="20" spans="1:10" ht="21.75" customHeight="1" x14ac:dyDescent="0.2">
      <c r="A20" s="70">
        <f t="shared" si="0"/>
        <v>18</v>
      </c>
      <c r="B20" s="4" t="s">
        <v>237</v>
      </c>
      <c r="C20" s="5">
        <v>31495</v>
      </c>
      <c r="D20" s="4" t="s">
        <v>179</v>
      </c>
      <c r="E20" s="4" t="s">
        <v>96</v>
      </c>
      <c r="F20" s="68"/>
      <c r="G20"/>
      <c r="H20"/>
      <c r="I20"/>
      <c r="J20"/>
    </row>
    <row r="21" spans="1:10" ht="21.75" customHeight="1" x14ac:dyDescent="0.2">
      <c r="A21" s="70">
        <f t="shared" si="0"/>
        <v>19</v>
      </c>
      <c r="B21" s="4" t="s">
        <v>236</v>
      </c>
      <c r="C21" s="5">
        <v>31635</v>
      </c>
      <c r="D21" s="4" t="s">
        <v>195</v>
      </c>
      <c r="E21" s="4" t="s">
        <v>96</v>
      </c>
      <c r="F21" s="68"/>
      <c r="G21"/>
      <c r="H21"/>
      <c r="I21"/>
      <c r="J21"/>
    </row>
    <row r="22" spans="1:10" ht="21.75" customHeight="1" x14ac:dyDescent="0.2">
      <c r="A22" s="70">
        <f t="shared" si="0"/>
        <v>20</v>
      </c>
      <c r="B22" s="4" t="s">
        <v>235</v>
      </c>
      <c r="C22" s="5">
        <v>32001</v>
      </c>
      <c r="D22" s="4" t="s">
        <v>139</v>
      </c>
      <c r="E22" s="66" t="s">
        <v>96</v>
      </c>
      <c r="F22" s="71"/>
    </row>
    <row r="23" spans="1:10" ht="21.75" customHeight="1" x14ac:dyDescent="0.2">
      <c r="A23" s="70">
        <f t="shared" si="0"/>
        <v>21</v>
      </c>
      <c r="B23" s="4" t="s">
        <v>234</v>
      </c>
      <c r="C23" s="5">
        <v>32160</v>
      </c>
      <c r="D23" s="4" t="s">
        <v>658</v>
      </c>
      <c r="E23" s="4" t="s">
        <v>96</v>
      </c>
      <c r="F23" s="68"/>
      <c r="G23"/>
      <c r="H23"/>
      <c r="I23"/>
      <c r="J23"/>
    </row>
    <row r="24" spans="1:10" ht="21.75" customHeight="1" x14ac:dyDescent="0.2">
      <c r="A24" s="70">
        <f t="shared" si="0"/>
        <v>22</v>
      </c>
      <c r="B24" s="4" t="s">
        <v>233</v>
      </c>
      <c r="C24" s="5">
        <v>32174</v>
      </c>
      <c r="D24" s="4" t="s">
        <v>197</v>
      </c>
      <c r="E24" s="4" t="s">
        <v>96</v>
      </c>
      <c r="F24" s="68"/>
      <c r="G24"/>
      <c r="H24"/>
      <c r="I24"/>
      <c r="J24"/>
    </row>
    <row r="25" spans="1:10" ht="21.75" customHeight="1" x14ac:dyDescent="0.2">
      <c r="A25" s="70">
        <f t="shared" si="0"/>
        <v>23</v>
      </c>
      <c r="B25" s="4" t="s">
        <v>232</v>
      </c>
      <c r="C25" s="5">
        <v>32186</v>
      </c>
      <c r="D25" s="4" t="s">
        <v>139</v>
      </c>
      <c r="E25" s="66" t="s">
        <v>96</v>
      </c>
      <c r="F25" s="71"/>
    </row>
    <row r="26" spans="1:10" ht="21.75" customHeight="1" x14ac:dyDescent="0.2">
      <c r="A26" s="70">
        <f t="shared" si="0"/>
        <v>24</v>
      </c>
      <c r="B26" s="4" t="s">
        <v>231</v>
      </c>
      <c r="C26" s="5">
        <v>32188</v>
      </c>
      <c r="D26" s="4" t="s">
        <v>195</v>
      </c>
      <c r="E26" s="4" t="s">
        <v>96</v>
      </c>
      <c r="F26" s="68"/>
      <c r="G26"/>
      <c r="H26"/>
      <c r="I26"/>
      <c r="J26"/>
    </row>
    <row r="27" spans="1:10" ht="21.75" customHeight="1" x14ac:dyDescent="0.2">
      <c r="A27" s="70">
        <f t="shared" si="0"/>
        <v>25</v>
      </c>
      <c r="B27" s="4" t="s">
        <v>230</v>
      </c>
      <c r="C27" s="5">
        <v>32230</v>
      </c>
      <c r="D27" s="4" t="s">
        <v>139</v>
      </c>
      <c r="E27" s="66" t="s">
        <v>96</v>
      </c>
      <c r="F27" s="71"/>
    </row>
    <row r="28" spans="1:10" ht="21.75" customHeight="1" x14ac:dyDescent="0.2">
      <c r="A28" s="70">
        <f t="shared" si="0"/>
        <v>26</v>
      </c>
      <c r="B28" s="4" t="s">
        <v>229</v>
      </c>
      <c r="C28" s="5">
        <v>32244</v>
      </c>
      <c r="D28" s="4" t="s">
        <v>139</v>
      </c>
      <c r="E28" s="66" t="s">
        <v>96</v>
      </c>
      <c r="F28" s="71"/>
    </row>
    <row r="29" spans="1:10" ht="21.75" customHeight="1" x14ac:dyDescent="0.2">
      <c r="A29" s="70">
        <f t="shared" si="0"/>
        <v>27</v>
      </c>
      <c r="B29" s="4" t="s">
        <v>228</v>
      </c>
      <c r="C29" s="5">
        <v>32258</v>
      </c>
      <c r="D29" s="4" t="s">
        <v>218</v>
      </c>
      <c r="E29" s="4" t="s">
        <v>96</v>
      </c>
      <c r="F29" s="68"/>
      <c r="G29"/>
      <c r="H29"/>
      <c r="I29"/>
      <c r="J29"/>
    </row>
    <row r="30" spans="1:10" ht="21.75" customHeight="1" x14ac:dyDescent="0.2">
      <c r="A30" s="70">
        <f t="shared" si="0"/>
        <v>28</v>
      </c>
      <c r="B30" s="4" t="s">
        <v>227</v>
      </c>
      <c r="C30" s="5">
        <v>32265</v>
      </c>
      <c r="D30" s="4" t="s">
        <v>139</v>
      </c>
      <c r="E30" s="66" t="s">
        <v>96</v>
      </c>
      <c r="F30" s="71"/>
    </row>
    <row r="31" spans="1:10" ht="21.75" customHeight="1" x14ac:dyDescent="0.2">
      <c r="A31" s="70">
        <f t="shared" si="0"/>
        <v>29</v>
      </c>
      <c r="B31" s="4" t="s">
        <v>226</v>
      </c>
      <c r="C31" s="5">
        <v>32316</v>
      </c>
      <c r="D31" s="4" t="s">
        <v>179</v>
      </c>
      <c r="E31" s="4" t="s">
        <v>96</v>
      </c>
      <c r="F31" s="68"/>
      <c r="G31"/>
      <c r="H31"/>
      <c r="I31"/>
      <c r="J31"/>
    </row>
    <row r="32" spans="1:10" ht="21.75" customHeight="1" x14ac:dyDescent="0.2">
      <c r="A32" s="70">
        <f t="shared" si="0"/>
        <v>30</v>
      </c>
      <c r="B32" s="4" t="s">
        <v>225</v>
      </c>
      <c r="C32" s="5">
        <v>32316</v>
      </c>
      <c r="D32" s="4" t="s">
        <v>195</v>
      </c>
      <c r="E32" s="4" t="s">
        <v>96</v>
      </c>
      <c r="F32" s="68"/>
      <c r="G32"/>
      <c r="H32"/>
      <c r="I32"/>
      <c r="J32"/>
    </row>
    <row r="33" spans="1:10" ht="21.75" customHeight="1" x14ac:dyDescent="0.2">
      <c r="A33" s="70">
        <f t="shared" si="0"/>
        <v>31</v>
      </c>
      <c r="B33" s="4" t="s">
        <v>224</v>
      </c>
      <c r="C33" s="5">
        <v>32330</v>
      </c>
      <c r="D33" s="4" t="s">
        <v>139</v>
      </c>
      <c r="E33" s="66" t="s">
        <v>90</v>
      </c>
      <c r="F33" s="71"/>
    </row>
    <row r="34" spans="1:10" ht="21.75" customHeight="1" x14ac:dyDescent="0.2">
      <c r="A34" s="70">
        <f t="shared" si="0"/>
        <v>32</v>
      </c>
      <c r="B34" s="4" t="s">
        <v>223</v>
      </c>
      <c r="C34" s="5">
        <v>32342</v>
      </c>
      <c r="D34" s="4" t="s">
        <v>179</v>
      </c>
      <c r="E34" s="4" t="s">
        <v>96</v>
      </c>
      <c r="F34" s="68"/>
      <c r="G34"/>
      <c r="H34"/>
      <c r="I34"/>
      <c r="J34"/>
    </row>
    <row r="35" spans="1:10" ht="21.75" customHeight="1" x14ac:dyDescent="0.2">
      <c r="A35" s="70">
        <f t="shared" si="0"/>
        <v>33</v>
      </c>
      <c r="B35" s="4" t="s">
        <v>222</v>
      </c>
      <c r="C35" s="5">
        <v>32356</v>
      </c>
      <c r="D35" s="4" t="s">
        <v>139</v>
      </c>
      <c r="E35" s="66" t="s">
        <v>96</v>
      </c>
      <c r="F35" s="71"/>
    </row>
    <row r="36" spans="1:10" ht="21.75" customHeight="1" x14ac:dyDescent="0.2">
      <c r="A36" s="70">
        <f t="shared" si="0"/>
        <v>34</v>
      </c>
      <c r="B36" s="4" t="s">
        <v>221</v>
      </c>
      <c r="C36" s="5">
        <v>32363</v>
      </c>
      <c r="D36" s="4" t="s">
        <v>139</v>
      </c>
      <c r="E36" s="66" t="s">
        <v>96</v>
      </c>
      <c r="F36" s="71"/>
    </row>
    <row r="37" spans="1:10" ht="21.75" customHeight="1" x14ac:dyDescent="0.2">
      <c r="A37" s="70">
        <f t="shared" si="0"/>
        <v>35</v>
      </c>
      <c r="B37" s="4" t="s">
        <v>220</v>
      </c>
      <c r="C37" s="5">
        <v>32370</v>
      </c>
      <c r="D37" s="4" t="s">
        <v>218</v>
      </c>
      <c r="E37" s="4" t="s">
        <v>96</v>
      </c>
      <c r="F37" s="68"/>
      <c r="G37"/>
      <c r="H37"/>
      <c r="I37"/>
      <c r="J37"/>
    </row>
    <row r="38" spans="1:10" ht="21.75" customHeight="1" x14ac:dyDescent="0.2">
      <c r="A38" s="70">
        <f t="shared" si="0"/>
        <v>36</v>
      </c>
      <c r="B38" s="4" t="s">
        <v>219</v>
      </c>
      <c r="C38" s="5">
        <v>32384</v>
      </c>
      <c r="D38" s="4" t="s">
        <v>218</v>
      </c>
      <c r="E38" s="4" t="s">
        <v>96</v>
      </c>
      <c r="F38" s="68"/>
      <c r="G38"/>
      <c r="H38"/>
      <c r="I38"/>
      <c r="J38"/>
    </row>
    <row r="39" spans="1:10" ht="21.75" customHeight="1" x14ac:dyDescent="0.2">
      <c r="A39" s="70">
        <f t="shared" si="0"/>
        <v>37</v>
      </c>
      <c r="B39" s="4" t="s">
        <v>217</v>
      </c>
      <c r="C39" s="5">
        <v>32419</v>
      </c>
      <c r="D39" s="4" t="s">
        <v>139</v>
      </c>
      <c r="E39" s="66">
        <v>3</v>
      </c>
      <c r="F39" s="71"/>
    </row>
    <row r="40" spans="1:10" ht="21.75" customHeight="1" x14ac:dyDescent="0.2">
      <c r="A40" s="70">
        <f t="shared" si="0"/>
        <v>38</v>
      </c>
      <c r="B40" s="4" t="s">
        <v>216</v>
      </c>
      <c r="C40" s="5">
        <v>32490</v>
      </c>
      <c r="D40" s="4" t="s">
        <v>197</v>
      </c>
      <c r="E40" s="4" t="s">
        <v>96</v>
      </c>
      <c r="F40" s="68"/>
      <c r="G40"/>
      <c r="H40"/>
      <c r="I40"/>
      <c r="J40"/>
    </row>
    <row r="41" spans="1:10" ht="21.75" customHeight="1" x14ac:dyDescent="0.2">
      <c r="A41" s="70">
        <f t="shared" si="0"/>
        <v>39</v>
      </c>
      <c r="B41" s="4" t="s">
        <v>215</v>
      </c>
      <c r="C41" s="5">
        <v>32519</v>
      </c>
      <c r="D41" s="4" t="s">
        <v>139</v>
      </c>
      <c r="E41" s="66" t="s">
        <v>96</v>
      </c>
      <c r="F41" s="71"/>
    </row>
    <row r="42" spans="1:10" ht="21.75" customHeight="1" x14ac:dyDescent="0.2">
      <c r="A42" s="70">
        <f t="shared" si="0"/>
        <v>40</v>
      </c>
      <c r="B42" s="4" t="s">
        <v>214</v>
      </c>
      <c r="C42" s="5">
        <v>32587</v>
      </c>
      <c r="D42" s="4" t="s">
        <v>161</v>
      </c>
      <c r="E42" s="4" t="s">
        <v>96</v>
      </c>
      <c r="F42" s="68"/>
      <c r="G42"/>
      <c r="H42"/>
      <c r="I42"/>
      <c r="J42"/>
    </row>
    <row r="43" spans="1:10" ht="21.75" customHeight="1" x14ac:dyDescent="0.2">
      <c r="A43" s="70">
        <f t="shared" si="0"/>
        <v>41</v>
      </c>
      <c r="B43" s="4" t="s">
        <v>213</v>
      </c>
      <c r="C43" s="5">
        <v>32615</v>
      </c>
      <c r="D43" s="4" t="s">
        <v>179</v>
      </c>
      <c r="E43" s="4" t="s">
        <v>96</v>
      </c>
      <c r="F43" s="68"/>
      <c r="G43"/>
      <c r="H43"/>
      <c r="I43"/>
      <c r="J43"/>
    </row>
    <row r="44" spans="1:10" ht="21.75" customHeight="1" x14ac:dyDescent="0.2">
      <c r="A44" s="70">
        <f t="shared" si="0"/>
        <v>42</v>
      </c>
      <c r="B44" s="4" t="s">
        <v>212</v>
      </c>
      <c r="C44" s="5">
        <v>32685</v>
      </c>
      <c r="D44" s="4" t="s">
        <v>195</v>
      </c>
      <c r="E44" s="4" t="s">
        <v>281</v>
      </c>
      <c r="F44" s="68"/>
      <c r="G44" s="68" t="s">
        <v>281</v>
      </c>
      <c r="H44"/>
      <c r="I44"/>
      <c r="J44"/>
    </row>
    <row r="45" spans="1:10" ht="21.75" customHeight="1" x14ac:dyDescent="0.2">
      <c r="A45" s="70">
        <f t="shared" si="0"/>
        <v>43</v>
      </c>
      <c r="B45" s="4" t="s">
        <v>211</v>
      </c>
      <c r="C45" s="5">
        <v>32694</v>
      </c>
      <c r="D45" s="4" t="s">
        <v>139</v>
      </c>
      <c r="E45" s="66" t="s">
        <v>96</v>
      </c>
      <c r="F45" s="71"/>
    </row>
    <row r="46" spans="1:10" ht="21.75" customHeight="1" x14ac:dyDescent="0.2">
      <c r="A46" s="70">
        <f t="shared" si="0"/>
        <v>44</v>
      </c>
      <c r="B46" s="4" t="s">
        <v>210</v>
      </c>
      <c r="C46" s="5">
        <v>32706</v>
      </c>
      <c r="D46" s="4" t="s">
        <v>209</v>
      </c>
      <c r="E46" s="4" t="s">
        <v>96</v>
      </c>
      <c r="F46" s="68"/>
      <c r="G46"/>
      <c r="H46"/>
      <c r="I46"/>
      <c r="J46"/>
    </row>
    <row r="47" spans="1:10" ht="21.75" customHeight="1" x14ac:dyDescent="0.2">
      <c r="A47" s="70">
        <f t="shared" si="0"/>
        <v>45</v>
      </c>
      <c r="B47" s="4" t="s">
        <v>208</v>
      </c>
      <c r="C47" s="5">
        <v>32708</v>
      </c>
      <c r="D47" s="4" t="s">
        <v>139</v>
      </c>
      <c r="E47" s="66" t="s">
        <v>96</v>
      </c>
      <c r="F47" s="71"/>
    </row>
    <row r="48" spans="1:10" ht="21.75" customHeight="1" x14ac:dyDescent="0.2">
      <c r="A48" s="70">
        <f t="shared" si="0"/>
        <v>46</v>
      </c>
      <c r="B48" s="4" t="s">
        <v>207</v>
      </c>
      <c r="C48" s="5">
        <v>32741</v>
      </c>
      <c r="D48" s="4" t="s">
        <v>179</v>
      </c>
      <c r="E48" s="4" t="s">
        <v>96</v>
      </c>
      <c r="F48" s="68"/>
      <c r="G48"/>
      <c r="H48"/>
      <c r="I48"/>
      <c r="J48"/>
    </row>
    <row r="49" spans="1:10" ht="21.75" customHeight="1" x14ac:dyDescent="0.2">
      <c r="A49" s="70">
        <f t="shared" si="0"/>
        <v>47</v>
      </c>
      <c r="B49" s="4" t="s">
        <v>206</v>
      </c>
      <c r="C49" s="5">
        <v>32748</v>
      </c>
      <c r="D49" s="4" t="s">
        <v>139</v>
      </c>
      <c r="E49" s="66" t="s">
        <v>96</v>
      </c>
      <c r="F49" s="71"/>
    </row>
    <row r="50" spans="1:10" ht="21.75" customHeight="1" x14ac:dyDescent="0.2">
      <c r="A50" s="70">
        <f t="shared" si="0"/>
        <v>48</v>
      </c>
      <c r="B50" s="4" t="s">
        <v>205</v>
      </c>
      <c r="C50" s="5">
        <v>35289</v>
      </c>
      <c r="D50" s="4" t="s">
        <v>139</v>
      </c>
      <c r="E50" s="66" t="s">
        <v>96</v>
      </c>
      <c r="F50" s="71"/>
    </row>
    <row r="51" spans="1:10" ht="21.75" customHeight="1" x14ac:dyDescent="0.2">
      <c r="A51" s="70">
        <f t="shared" si="0"/>
        <v>49</v>
      </c>
      <c r="B51" s="4" t="s">
        <v>204</v>
      </c>
      <c r="C51" s="5">
        <v>35296</v>
      </c>
      <c r="D51" s="4" t="s">
        <v>139</v>
      </c>
      <c r="E51" s="66" t="s">
        <v>96</v>
      </c>
      <c r="F51" s="71"/>
    </row>
    <row r="52" spans="1:10" ht="21.75" customHeight="1" x14ac:dyDescent="0.2">
      <c r="A52" s="70">
        <f t="shared" si="0"/>
        <v>50</v>
      </c>
      <c r="B52" s="4" t="s">
        <v>203</v>
      </c>
      <c r="C52" s="5">
        <v>35303</v>
      </c>
      <c r="D52" s="4" t="s">
        <v>139</v>
      </c>
      <c r="E52" s="66" t="s">
        <v>96</v>
      </c>
      <c r="F52" s="71"/>
    </row>
    <row r="53" spans="1:10" ht="21.75" customHeight="1" x14ac:dyDescent="0.2">
      <c r="A53" s="70">
        <f t="shared" si="0"/>
        <v>51</v>
      </c>
      <c r="B53" s="4" t="s">
        <v>202</v>
      </c>
      <c r="C53" s="5">
        <v>35311</v>
      </c>
      <c r="D53" s="4" t="s">
        <v>139</v>
      </c>
      <c r="E53" s="66" t="s">
        <v>96</v>
      </c>
      <c r="F53" s="71"/>
    </row>
    <row r="54" spans="1:10" ht="21.75" customHeight="1" x14ac:dyDescent="0.2">
      <c r="A54" s="70">
        <f t="shared" si="0"/>
        <v>52</v>
      </c>
      <c r="B54" s="4" t="s">
        <v>201</v>
      </c>
      <c r="C54" s="5">
        <v>35317</v>
      </c>
      <c r="D54" s="4" t="s">
        <v>139</v>
      </c>
      <c r="E54" s="66" t="s">
        <v>96</v>
      </c>
      <c r="F54" s="71"/>
    </row>
    <row r="55" spans="1:10" ht="21.75" customHeight="1" x14ac:dyDescent="0.2">
      <c r="A55" s="70">
        <f t="shared" si="0"/>
        <v>53</v>
      </c>
      <c r="B55" s="4" t="s">
        <v>200</v>
      </c>
      <c r="C55" s="5">
        <v>35352</v>
      </c>
      <c r="D55" s="4" t="s">
        <v>139</v>
      </c>
      <c r="E55" s="66" t="s">
        <v>96</v>
      </c>
      <c r="F55" s="71"/>
    </row>
    <row r="56" spans="1:10" ht="21.75" customHeight="1" x14ac:dyDescent="0.2">
      <c r="A56" s="70">
        <f t="shared" si="0"/>
        <v>54</v>
      </c>
      <c r="B56" s="4" t="s">
        <v>199</v>
      </c>
      <c r="C56" s="5">
        <v>35478</v>
      </c>
      <c r="D56" s="4" t="s">
        <v>139</v>
      </c>
      <c r="E56" s="66">
        <v>2</v>
      </c>
      <c r="F56" s="71"/>
    </row>
    <row r="57" spans="1:10" ht="21.75" customHeight="1" x14ac:dyDescent="0.2">
      <c r="A57" s="70">
        <f t="shared" si="0"/>
        <v>55</v>
      </c>
      <c r="B57" s="4" t="s">
        <v>198</v>
      </c>
      <c r="C57" s="5">
        <v>35494</v>
      </c>
      <c r="D57" s="4" t="s">
        <v>197</v>
      </c>
      <c r="E57" s="4" t="s">
        <v>90</v>
      </c>
      <c r="F57" s="68"/>
      <c r="G57"/>
      <c r="H57"/>
      <c r="I57"/>
      <c r="J57"/>
    </row>
    <row r="58" spans="1:10" ht="21.75" customHeight="1" x14ac:dyDescent="0.2">
      <c r="A58" s="70">
        <f t="shared" si="0"/>
        <v>56</v>
      </c>
      <c r="B58" s="4" t="s">
        <v>196</v>
      </c>
      <c r="C58" s="5">
        <v>35506</v>
      </c>
      <c r="D58" s="4" t="s">
        <v>195</v>
      </c>
      <c r="E58" s="4" t="s">
        <v>96</v>
      </c>
      <c r="F58" s="68"/>
      <c r="G58"/>
      <c r="H58"/>
      <c r="I58"/>
      <c r="J58"/>
    </row>
    <row r="59" spans="1:10" ht="21.75" customHeight="1" x14ac:dyDescent="0.2">
      <c r="A59" s="70">
        <f t="shared" si="0"/>
        <v>57</v>
      </c>
      <c r="B59" s="4" t="s">
        <v>194</v>
      </c>
      <c r="C59" s="5">
        <v>35520</v>
      </c>
      <c r="D59" s="4" t="s">
        <v>193</v>
      </c>
      <c r="E59" s="4" t="s">
        <v>96</v>
      </c>
      <c r="F59" s="68"/>
      <c r="G59"/>
      <c r="H59"/>
      <c r="I59"/>
      <c r="J59"/>
    </row>
    <row r="60" spans="1:10" ht="21.75" customHeight="1" x14ac:dyDescent="0.2">
      <c r="A60" s="70">
        <f t="shared" si="0"/>
        <v>58</v>
      </c>
      <c r="B60" s="4" t="s">
        <v>192</v>
      </c>
      <c r="C60" s="5">
        <v>35520</v>
      </c>
      <c r="D60" s="4" t="s">
        <v>179</v>
      </c>
      <c r="E60" s="4" t="s">
        <v>96</v>
      </c>
      <c r="F60" s="68"/>
      <c r="G60"/>
      <c r="H60"/>
      <c r="I60"/>
      <c r="J60"/>
    </row>
    <row r="61" spans="1:10" ht="21.75" customHeight="1" x14ac:dyDescent="0.2">
      <c r="A61" s="70">
        <f t="shared" si="0"/>
        <v>59</v>
      </c>
      <c r="B61" s="4" t="s">
        <v>191</v>
      </c>
      <c r="C61" s="5">
        <v>35529</v>
      </c>
      <c r="D61" s="4" t="s">
        <v>139</v>
      </c>
      <c r="E61" s="66" t="s">
        <v>96</v>
      </c>
      <c r="F61" s="71"/>
    </row>
    <row r="62" spans="1:10" ht="21.75" customHeight="1" x14ac:dyDescent="0.2">
      <c r="A62" s="70">
        <f t="shared" si="0"/>
        <v>60</v>
      </c>
      <c r="B62" s="4" t="s">
        <v>190</v>
      </c>
      <c r="C62" s="5">
        <v>35534</v>
      </c>
      <c r="D62" s="4" t="s">
        <v>139</v>
      </c>
      <c r="E62" s="66" t="s">
        <v>96</v>
      </c>
      <c r="F62" s="71"/>
    </row>
    <row r="63" spans="1:10" ht="21.75" customHeight="1" x14ac:dyDescent="0.2">
      <c r="A63" s="70">
        <f t="shared" si="0"/>
        <v>61</v>
      </c>
      <c r="B63" s="4" t="s">
        <v>189</v>
      </c>
      <c r="C63" s="5">
        <v>35548</v>
      </c>
      <c r="D63" s="4" t="s">
        <v>179</v>
      </c>
      <c r="E63" s="4" t="s">
        <v>96</v>
      </c>
      <c r="F63" s="68"/>
      <c r="G63"/>
      <c r="H63"/>
      <c r="I63"/>
      <c r="J63"/>
    </row>
    <row r="64" spans="1:10" ht="21.75" customHeight="1" x14ac:dyDescent="0.2">
      <c r="A64" s="70">
        <f t="shared" si="0"/>
        <v>62</v>
      </c>
      <c r="B64" s="4" t="s">
        <v>188</v>
      </c>
      <c r="C64" s="5">
        <v>35611</v>
      </c>
      <c r="D64" s="4" t="s">
        <v>179</v>
      </c>
      <c r="E64" s="4" t="s">
        <v>96</v>
      </c>
      <c r="F64" s="68"/>
      <c r="G64"/>
      <c r="H64"/>
      <c r="I64"/>
      <c r="J64"/>
    </row>
    <row r="65" spans="1:10" ht="21.75" customHeight="1" x14ac:dyDescent="0.2">
      <c r="A65" s="70">
        <f t="shared" si="0"/>
        <v>63</v>
      </c>
      <c r="B65" s="4" t="s">
        <v>187</v>
      </c>
      <c r="C65" s="5">
        <v>35647</v>
      </c>
      <c r="D65" s="4" t="s">
        <v>179</v>
      </c>
      <c r="E65" s="4" t="s">
        <v>96</v>
      </c>
      <c r="F65" s="68"/>
      <c r="G65"/>
      <c r="H65"/>
      <c r="I65"/>
      <c r="J65"/>
    </row>
    <row r="66" spans="1:10" ht="21.75" customHeight="1" x14ac:dyDescent="0.2">
      <c r="A66" s="70">
        <f t="shared" si="0"/>
        <v>64</v>
      </c>
      <c r="B66" s="4" t="s">
        <v>186</v>
      </c>
      <c r="C66" s="5">
        <v>35653</v>
      </c>
      <c r="D66" s="4" t="s">
        <v>139</v>
      </c>
      <c r="E66" s="66" t="s">
        <v>96</v>
      </c>
      <c r="F66" s="71"/>
    </row>
    <row r="67" spans="1:10" ht="21.75" customHeight="1" x14ac:dyDescent="0.2">
      <c r="A67" s="70">
        <f t="shared" si="0"/>
        <v>65</v>
      </c>
      <c r="B67" s="4" t="s">
        <v>185</v>
      </c>
      <c r="C67" s="5">
        <v>35739</v>
      </c>
      <c r="D67" s="4" t="s">
        <v>179</v>
      </c>
      <c r="E67" s="4" t="s">
        <v>96</v>
      </c>
      <c r="F67" s="68"/>
      <c r="G67"/>
      <c r="H67"/>
      <c r="I67"/>
      <c r="J67"/>
    </row>
    <row r="68" spans="1:10" ht="21.75" customHeight="1" x14ac:dyDescent="0.2">
      <c r="A68" s="70">
        <f t="shared" ref="A68:A131" si="1">A67+1</f>
        <v>66</v>
      </c>
      <c r="B68" s="4" t="s">
        <v>184</v>
      </c>
      <c r="C68" s="5">
        <v>35752</v>
      </c>
      <c r="D68" s="4" t="s">
        <v>183</v>
      </c>
      <c r="E68" s="4" t="s">
        <v>96</v>
      </c>
      <c r="F68" s="68"/>
      <c r="G68"/>
      <c r="H68"/>
      <c r="I68"/>
      <c r="J68"/>
    </row>
    <row r="69" spans="1:10" ht="21.75" customHeight="1" x14ac:dyDescent="0.2">
      <c r="A69" s="70">
        <f t="shared" si="1"/>
        <v>67</v>
      </c>
      <c r="B69" s="4" t="s">
        <v>182</v>
      </c>
      <c r="C69" s="5">
        <v>35766</v>
      </c>
      <c r="D69" s="4" t="s">
        <v>179</v>
      </c>
      <c r="E69" s="4" t="s">
        <v>96</v>
      </c>
      <c r="F69" s="68"/>
      <c r="G69"/>
      <c r="H69"/>
      <c r="I69"/>
      <c r="J69"/>
    </row>
    <row r="70" spans="1:10" ht="21.75" customHeight="1" x14ac:dyDescent="0.2">
      <c r="A70" s="70">
        <f t="shared" si="1"/>
        <v>68</v>
      </c>
      <c r="B70" s="4" t="s">
        <v>181</v>
      </c>
      <c r="C70" s="5">
        <v>35828</v>
      </c>
      <c r="D70" s="4" t="s">
        <v>139</v>
      </c>
      <c r="E70" s="66" t="s">
        <v>96</v>
      </c>
      <c r="F70" s="71"/>
    </row>
    <row r="71" spans="1:10" ht="21.75" customHeight="1" x14ac:dyDescent="0.2">
      <c r="A71" s="70">
        <f t="shared" si="1"/>
        <v>69</v>
      </c>
      <c r="B71" s="4" t="s">
        <v>180</v>
      </c>
      <c r="C71" s="5">
        <v>35863</v>
      </c>
      <c r="D71" s="4" t="s">
        <v>179</v>
      </c>
      <c r="E71" s="4" t="s">
        <v>96</v>
      </c>
      <c r="F71" s="68"/>
      <c r="G71"/>
      <c r="H71"/>
      <c r="I71"/>
      <c r="J71"/>
    </row>
    <row r="72" spans="1:10" ht="21.75" customHeight="1" x14ac:dyDescent="0.2">
      <c r="A72" s="70">
        <f t="shared" si="1"/>
        <v>70</v>
      </c>
      <c r="B72" s="4" t="s">
        <v>178</v>
      </c>
      <c r="C72" s="5">
        <v>35933</v>
      </c>
      <c r="D72" s="4" t="s">
        <v>139</v>
      </c>
      <c r="E72" s="66" t="s">
        <v>96</v>
      </c>
      <c r="F72" s="71"/>
    </row>
    <row r="73" spans="1:10" ht="21.75" customHeight="1" x14ac:dyDescent="0.2">
      <c r="A73" s="70">
        <f t="shared" si="1"/>
        <v>71</v>
      </c>
      <c r="B73" s="4" t="s">
        <v>177</v>
      </c>
      <c r="C73" s="5">
        <v>35942</v>
      </c>
      <c r="D73" s="4" t="s">
        <v>139</v>
      </c>
      <c r="E73" s="66" t="s">
        <v>96</v>
      </c>
      <c r="F73" s="71"/>
    </row>
    <row r="74" spans="1:10" ht="21.75" customHeight="1" x14ac:dyDescent="0.2">
      <c r="A74" s="70">
        <f t="shared" si="1"/>
        <v>72</v>
      </c>
      <c r="B74" s="4" t="s">
        <v>176</v>
      </c>
      <c r="C74" s="5">
        <v>35975</v>
      </c>
      <c r="D74" s="4" t="s">
        <v>139</v>
      </c>
      <c r="E74" s="66" t="s">
        <v>96</v>
      </c>
      <c r="F74" s="71"/>
    </row>
    <row r="75" spans="1:10" ht="21.75" customHeight="1" x14ac:dyDescent="0.2">
      <c r="A75" s="70">
        <f t="shared" si="1"/>
        <v>73</v>
      </c>
      <c r="B75" s="4" t="s">
        <v>175</v>
      </c>
      <c r="C75" s="5">
        <v>35989</v>
      </c>
      <c r="D75" s="4" t="s">
        <v>161</v>
      </c>
      <c r="E75" s="4" t="s">
        <v>96</v>
      </c>
      <c r="F75" s="68"/>
      <c r="G75"/>
      <c r="H75"/>
      <c r="I75"/>
      <c r="J75"/>
    </row>
    <row r="76" spans="1:10" ht="21.75" customHeight="1" x14ac:dyDescent="0.2">
      <c r="A76" s="70">
        <f t="shared" si="1"/>
        <v>74</v>
      </c>
      <c r="B76" s="4" t="s">
        <v>174</v>
      </c>
      <c r="C76" s="5">
        <v>35990</v>
      </c>
      <c r="D76" s="4" t="s">
        <v>139</v>
      </c>
      <c r="E76" s="66" t="s">
        <v>96</v>
      </c>
      <c r="F76" s="71"/>
    </row>
    <row r="77" spans="1:10" ht="21.75" customHeight="1" x14ac:dyDescent="0.2">
      <c r="A77" s="70">
        <f t="shared" si="1"/>
        <v>75</v>
      </c>
      <c r="B77" s="4" t="s">
        <v>173</v>
      </c>
      <c r="C77" s="5">
        <v>35996</v>
      </c>
      <c r="D77" s="4" t="s">
        <v>139</v>
      </c>
      <c r="E77" s="66" t="s">
        <v>96</v>
      </c>
      <c r="F77" s="71"/>
    </row>
    <row r="78" spans="1:10" ht="21.75" customHeight="1" x14ac:dyDescent="0.2">
      <c r="A78" s="70">
        <f t="shared" si="1"/>
        <v>76</v>
      </c>
      <c r="B78" s="4" t="s">
        <v>172</v>
      </c>
      <c r="C78" s="5">
        <v>36003</v>
      </c>
      <c r="D78" s="4" t="s">
        <v>171</v>
      </c>
      <c r="E78" s="4">
        <v>3</v>
      </c>
      <c r="F78" s="68"/>
      <c r="G78"/>
      <c r="H78"/>
      <c r="I78"/>
      <c r="J78"/>
    </row>
    <row r="79" spans="1:10" ht="21.75" customHeight="1" x14ac:dyDescent="0.2">
      <c r="A79" s="70">
        <f t="shared" si="1"/>
        <v>77</v>
      </c>
      <c r="B79" s="4" t="s">
        <v>170</v>
      </c>
      <c r="C79" s="5">
        <v>36010</v>
      </c>
      <c r="D79" s="4" t="s">
        <v>139</v>
      </c>
      <c r="E79" s="66" t="s">
        <v>96</v>
      </c>
      <c r="F79" s="71"/>
    </row>
    <row r="80" spans="1:10" ht="21.75" customHeight="1" x14ac:dyDescent="0.2">
      <c r="A80" s="70">
        <f t="shared" si="1"/>
        <v>78</v>
      </c>
      <c r="B80" s="4" t="s">
        <v>169</v>
      </c>
      <c r="C80" s="5">
        <v>36012</v>
      </c>
      <c r="D80" s="4" t="s">
        <v>139</v>
      </c>
      <c r="E80" s="66" t="s">
        <v>96</v>
      </c>
      <c r="F80" s="71"/>
    </row>
    <row r="81" spans="1:10" ht="21.75" customHeight="1" x14ac:dyDescent="0.2">
      <c r="A81" s="70">
        <f t="shared" si="1"/>
        <v>79</v>
      </c>
      <c r="B81" s="4" t="s">
        <v>168</v>
      </c>
      <c r="C81" s="5">
        <v>36013</v>
      </c>
      <c r="D81" s="4" t="s">
        <v>104</v>
      </c>
      <c r="E81" s="4" t="s">
        <v>96</v>
      </c>
      <c r="F81" s="68"/>
      <c r="G81"/>
      <c r="H81"/>
      <c r="I81"/>
      <c r="J81"/>
    </row>
    <row r="82" spans="1:10" ht="21.75" customHeight="1" x14ac:dyDescent="0.2">
      <c r="A82" s="70">
        <f t="shared" si="1"/>
        <v>80</v>
      </c>
      <c r="B82" s="4" t="s">
        <v>167</v>
      </c>
      <c r="C82" s="5">
        <v>36018</v>
      </c>
      <c r="D82" s="4" t="s">
        <v>139</v>
      </c>
      <c r="E82" s="66" t="s">
        <v>96</v>
      </c>
      <c r="F82" s="71"/>
    </row>
    <row r="83" spans="1:10" ht="21.75" customHeight="1" x14ac:dyDescent="0.2">
      <c r="A83" s="70">
        <f t="shared" si="1"/>
        <v>81</v>
      </c>
      <c r="B83" s="4" t="s">
        <v>166</v>
      </c>
      <c r="C83" s="5">
        <v>36031</v>
      </c>
      <c r="D83" s="4" t="s">
        <v>139</v>
      </c>
      <c r="E83" s="66" t="s">
        <v>96</v>
      </c>
      <c r="F83" s="71"/>
    </row>
    <row r="84" spans="1:10" ht="21.75" customHeight="1" x14ac:dyDescent="0.2">
      <c r="A84" s="70">
        <f t="shared" si="1"/>
        <v>82</v>
      </c>
      <c r="B84" s="4" t="s">
        <v>165</v>
      </c>
      <c r="C84" s="5">
        <v>36038</v>
      </c>
      <c r="D84" s="4" t="s">
        <v>139</v>
      </c>
      <c r="E84" s="66" t="s">
        <v>96</v>
      </c>
      <c r="F84" s="71"/>
    </row>
    <row r="85" spans="1:10" ht="21.75" customHeight="1" x14ac:dyDescent="0.2">
      <c r="A85" s="70">
        <f t="shared" si="1"/>
        <v>83</v>
      </c>
      <c r="B85" s="4" t="s">
        <v>164</v>
      </c>
      <c r="C85" s="5">
        <v>36063</v>
      </c>
      <c r="D85" s="4" t="s">
        <v>163</v>
      </c>
      <c r="E85" s="4" t="s">
        <v>96</v>
      </c>
      <c r="F85" s="68"/>
      <c r="G85"/>
      <c r="H85"/>
      <c r="I85"/>
      <c r="J85"/>
    </row>
    <row r="86" spans="1:10" ht="21.75" customHeight="1" x14ac:dyDescent="0.2">
      <c r="A86" s="70">
        <f t="shared" si="1"/>
        <v>84</v>
      </c>
      <c r="B86" s="4" t="s">
        <v>162</v>
      </c>
      <c r="C86" s="5">
        <v>36076</v>
      </c>
      <c r="D86" s="4" t="s">
        <v>161</v>
      </c>
      <c r="E86" s="4" t="s">
        <v>90</v>
      </c>
      <c r="F86" s="68"/>
      <c r="G86"/>
      <c r="H86"/>
      <c r="I86"/>
      <c r="J86"/>
    </row>
    <row r="87" spans="1:10" ht="21.75" customHeight="1" x14ac:dyDescent="0.2">
      <c r="A87" s="70">
        <f t="shared" si="1"/>
        <v>85</v>
      </c>
      <c r="B87" s="4" t="s">
        <v>160</v>
      </c>
      <c r="C87" s="5">
        <v>36094</v>
      </c>
      <c r="D87" s="4" t="s">
        <v>659</v>
      </c>
      <c r="E87" s="4">
        <v>1</v>
      </c>
      <c r="F87" s="68"/>
      <c r="G87"/>
      <c r="H87"/>
      <c r="I87"/>
      <c r="J87"/>
    </row>
    <row r="88" spans="1:10" ht="21.75" customHeight="1" x14ac:dyDescent="0.2">
      <c r="A88" s="70">
        <f t="shared" si="1"/>
        <v>86</v>
      </c>
      <c r="B88" s="4" t="s">
        <v>159</v>
      </c>
      <c r="C88" s="5">
        <v>36095</v>
      </c>
      <c r="D88" s="4" t="s">
        <v>139</v>
      </c>
      <c r="E88" s="66" t="s">
        <v>96</v>
      </c>
      <c r="F88" s="71"/>
    </row>
    <row r="89" spans="1:10" ht="21.75" customHeight="1" x14ac:dyDescent="0.2">
      <c r="A89" s="70">
        <f t="shared" si="1"/>
        <v>87</v>
      </c>
      <c r="B89" s="4" t="s">
        <v>158</v>
      </c>
      <c r="C89" s="5">
        <v>36103</v>
      </c>
      <c r="D89" s="4" t="s">
        <v>139</v>
      </c>
      <c r="E89" s="66" t="s">
        <v>96</v>
      </c>
      <c r="F89" s="71"/>
    </row>
    <row r="90" spans="1:10" ht="21.75" customHeight="1" x14ac:dyDescent="0.2">
      <c r="A90" s="70">
        <f t="shared" si="1"/>
        <v>88</v>
      </c>
      <c r="B90" s="4" t="s">
        <v>157</v>
      </c>
      <c r="C90" s="5">
        <v>36255</v>
      </c>
      <c r="D90" s="4" t="s">
        <v>139</v>
      </c>
      <c r="E90" s="66">
        <v>1</v>
      </c>
      <c r="F90" s="71"/>
    </row>
    <row r="91" spans="1:10" ht="21.75" customHeight="1" x14ac:dyDescent="0.2">
      <c r="A91" s="70">
        <f t="shared" si="1"/>
        <v>89</v>
      </c>
      <c r="B91" s="4" t="s">
        <v>156</v>
      </c>
      <c r="C91" s="5">
        <v>36284</v>
      </c>
      <c r="D91" s="4" t="s">
        <v>524</v>
      </c>
      <c r="E91" s="4" t="s">
        <v>96</v>
      </c>
      <c r="F91" s="68"/>
      <c r="G91"/>
      <c r="H91"/>
      <c r="I91"/>
      <c r="J91"/>
    </row>
    <row r="92" spans="1:10" ht="21.75" customHeight="1" x14ac:dyDescent="0.2">
      <c r="A92" s="70">
        <f t="shared" si="1"/>
        <v>90</v>
      </c>
      <c r="B92" s="4" t="s">
        <v>155</v>
      </c>
      <c r="C92" s="5">
        <v>36286</v>
      </c>
      <c r="D92" s="4" t="s">
        <v>139</v>
      </c>
      <c r="E92" s="66" t="s">
        <v>96</v>
      </c>
      <c r="F92" s="71"/>
    </row>
    <row r="93" spans="1:10" ht="21.75" customHeight="1" x14ac:dyDescent="0.2">
      <c r="A93" s="70">
        <f t="shared" si="1"/>
        <v>91</v>
      </c>
      <c r="B93" s="4" t="s">
        <v>154</v>
      </c>
      <c r="C93" s="5">
        <v>36291</v>
      </c>
      <c r="D93" s="4" t="s">
        <v>102</v>
      </c>
      <c r="E93" s="66" t="s">
        <v>96</v>
      </c>
      <c r="F93" s="71"/>
    </row>
    <row r="94" spans="1:10" ht="21.75" customHeight="1" x14ac:dyDescent="0.2">
      <c r="A94" s="70">
        <f t="shared" si="1"/>
        <v>92</v>
      </c>
      <c r="B94" s="4" t="s">
        <v>153</v>
      </c>
      <c r="C94" s="5">
        <v>36976</v>
      </c>
      <c r="D94" s="4" t="s">
        <v>102</v>
      </c>
      <c r="E94" s="66" t="s">
        <v>96</v>
      </c>
      <c r="F94" s="71"/>
    </row>
    <row r="95" spans="1:10" ht="21.75" customHeight="1" x14ac:dyDescent="0.2">
      <c r="A95" s="70">
        <f t="shared" si="1"/>
        <v>93</v>
      </c>
      <c r="B95" s="4" t="s">
        <v>152</v>
      </c>
      <c r="C95" s="5">
        <v>36985</v>
      </c>
      <c r="D95" s="4" t="s">
        <v>130</v>
      </c>
      <c r="E95" s="4" t="s">
        <v>96</v>
      </c>
      <c r="F95" s="68"/>
      <c r="G95"/>
      <c r="H95"/>
      <c r="I95"/>
      <c r="J95"/>
    </row>
    <row r="96" spans="1:10" ht="21.75" customHeight="1" x14ac:dyDescent="0.2">
      <c r="A96" s="70">
        <f t="shared" si="1"/>
        <v>94</v>
      </c>
      <c r="B96" s="4" t="s">
        <v>151</v>
      </c>
      <c r="C96" s="5">
        <v>36990</v>
      </c>
      <c r="D96" s="4" t="s">
        <v>139</v>
      </c>
      <c r="E96" s="66" t="s">
        <v>96</v>
      </c>
      <c r="F96" s="71"/>
    </row>
    <row r="97" spans="1:10" ht="21.75" customHeight="1" x14ac:dyDescent="0.2">
      <c r="A97" s="70">
        <f t="shared" si="1"/>
        <v>95</v>
      </c>
      <c r="B97" s="4" t="s">
        <v>150</v>
      </c>
      <c r="C97" s="5">
        <v>37013</v>
      </c>
      <c r="D97" s="4" t="s">
        <v>658</v>
      </c>
      <c r="E97" s="4" t="s">
        <v>96</v>
      </c>
      <c r="F97" s="68"/>
      <c r="G97"/>
      <c r="H97"/>
      <c r="I97"/>
      <c r="J97"/>
    </row>
    <row r="98" spans="1:10" ht="21.75" customHeight="1" x14ac:dyDescent="0.2">
      <c r="A98" s="70">
        <f t="shared" si="1"/>
        <v>96</v>
      </c>
      <c r="B98" s="4" t="s">
        <v>149</v>
      </c>
      <c r="C98" s="5">
        <v>37019</v>
      </c>
      <c r="D98" s="4" t="s">
        <v>110</v>
      </c>
      <c r="E98" s="4" t="s">
        <v>90</v>
      </c>
      <c r="F98" s="68"/>
      <c r="G98"/>
      <c r="H98"/>
      <c r="I98"/>
      <c r="J98"/>
    </row>
    <row r="99" spans="1:10" ht="21.75" customHeight="1" x14ac:dyDescent="0.2">
      <c r="A99" s="70">
        <f t="shared" si="1"/>
        <v>97</v>
      </c>
      <c r="B99" s="4" t="s">
        <v>148</v>
      </c>
      <c r="C99" s="5">
        <v>37040</v>
      </c>
      <c r="D99" s="4" t="s">
        <v>102</v>
      </c>
      <c r="E99" s="66" t="s">
        <v>96</v>
      </c>
      <c r="F99" s="71"/>
    </row>
    <row r="100" spans="1:10" ht="21.75" customHeight="1" x14ac:dyDescent="0.2">
      <c r="A100" s="70">
        <f t="shared" si="1"/>
        <v>98</v>
      </c>
      <c r="B100" s="4" t="s">
        <v>147</v>
      </c>
      <c r="C100" s="5">
        <v>37048</v>
      </c>
      <c r="D100" s="4" t="s">
        <v>139</v>
      </c>
      <c r="E100" s="66" t="s">
        <v>96</v>
      </c>
      <c r="F100" s="71"/>
    </row>
    <row r="101" spans="1:10" ht="21.75" customHeight="1" x14ac:dyDescent="0.2">
      <c r="A101" s="70">
        <f t="shared" si="1"/>
        <v>99</v>
      </c>
      <c r="B101" s="4" t="s">
        <v>146</v>
      </c>
      <c r="C101" s="5">
        <v>37067</v>
      </c>
      <c r="D101" s="4" t="s">
        <v>102</v>
      </c>
      <c r="E101" s="66" t="s">
        <v>96</v>
      </c>
      <c r="F101" s="71"/>
    </row>
    <row r="102" spans="1:10" ht="21.75" customHeight="1" x14ac:dyDescent="0.2">
      <c r="A102" s="70">
        <f t="shared" si="1"/>
        <v>100</v>
      </c>
      <c r="B102" s="4" t="s">
        <v>145</v>
      </c>
      <c r="C102" s="5">
        <v>37081</v>
      </c>
      <c r="D102" s="4" t="s">
        <v>102</v>
      </c>
      <c r="E102" s="66" t="s">
        <v>96</v>
      </c>
      <c r="F102" s="71"/>
    </row>
    <row r="103" spans="1:10" ht="21.75" customHeight="1" x14ac:dyDescent="0.2">
      <c r="A103" s="70">
        <f t="shared" si="1"/>
        <v>101</v>
      </c>
      <c r="B103" s="4" t="s">
        <v>144</v>
      </c>
      <c r="C103" s="5">
        <v>37095</v>
      </c>
      <c r="D103" s="4" t="s">
        <v>102</v>
      </c>
      <c r="E103" s="66" t="s">
        <v>96</v>
      </c>
      <c r="F103" s="71"/>
    </row>
    <row r="104" spans="1:10" ht="21.75" customHeight="1" x14ac:dyDescent="0.2">
      <c r="A104" s="70">
        <f t="shared" si="1"/>
        <v>102</v>
      </c>
      <c r="B104" s="4" t="s">
        <v>143</v>
      </c>
      <c r="C104" s="5">
        <v>37095</v>
      </c>
      <c r="D104" s="4" t="s">
        <v>102</v>
      </c>
      <c r="E104" s="66" t="s">
        <v>281</v>
      </c>
      <c r="F104" s="71"/>
      <c r="G104" s="57">
        <v>1</v>
      </c>
    </row>
    <row r="105" spans="1:10" ht="21.75" customHeight="1" x14ac:dyDescent="0.2">
      <c r="A105" s="70">
        <f t="shared" si="1"/>
        <v>103</v>
      </c>
      <c r="B105" s="4" t="s">
        <v>142</v>
      </c>
      <c r="C105" s="5">
        <v>37095</v>
      </c>
      <c r="D105" s="4" t="s">
        <v>102</v>
      </c>
      <c r="E105" s="66" t="s">
        <v>96</v>
      </c>
      <c r="F105" s="71"/>
    </row>
    <row r="106" spans="1:10" ht="21.75" customHeight="1" x14ac:dyDescent="0.2">
      <c r="A106" s="70">
        <f t="shared" si="1"/>
        <v>104</v>
      </c>
      <c r="B106" s="4" t="s">
        <v>141</v>
      </c>
      <c r="C106" s="5">
        <v>37095</v>
      </c>
      <c r="D106" s="4" t="s">
        <v>102</v>
      </c>
      <c r="E106" s="66" t="s">
        <v>96</v>
      </c>
      <c r="F106" s="71"/>
    </row>
    <row r="107" spans="1:10" ht="21.75" customHeight="1" x14ac:dyDescent="0.2">
      <c r="A107" s="70">
        <f t="shared" si="1"/>
        <v>105</v>
      </c>
      <c r="B107" s="4" t="s">
        <v>140</v>
      </c>
      <c r="C107" s="5">
        <v>37097</v>
      </c>
      <c r="D107" s="4" t="s">
        <v>139</v>
      </c>
      <c r="E107" s="66" t="s">
        <v>90</v>
      </c>
      <c r="F107" s="71"/>
    </row>
    <row r="108" spans="1:10" ht="21.75" customHeight="1" x14ac:dyDescent="0.2">
      <c r="A108" s="70">
        <f t="shared" si="1"/>
        <v>106</v>
      </c>
      <c r="B108" s="4" t="s">
        <v>138</v>
      </c>
      <c r="C108" s="5">
        <v>37123</v>
      </c>
      <c r="D108" s="4" t="s">
        <v>137</v>
      </c>
      <c r="E108" s="4" t="s">
        <v>96</v>
      </c>
      <c r="F108" s="68"/>
      <c r="G108"/>
      <c r="H108"/>
      <c r="I108"/>
      <c r="J108"/>
    </row>
    <row r="109" spans="1:10" ht="21.75" customHeight="1" x14ac:dyDescent="0.2">
      <c r="A109" s="70">
        <f t="shared" si="1"/>
        <v>107</v>
      </c>
      <c r="B109" s="4" t="s">
        <v>136</v>
      </c>
      <c r="C109" s="5">
        <v>37155</v>
      </c>
      <c r="D109" s="4" t="s">
        <v>102</v>
      </c>
      <c r="E109" s="66" t="s">
        <v>96</v>
      </c>
      <c r="F109" s="71"/>
    </row>
    <row r="110" spans="1:10" ht="21.75" customHeight="1" x14ac:dyDescent="0.2">
      <c r="A110" s="70">
        <f t="shared" si="1"/>
        <v>108</v>
      </c>
      <c r="B110" s="4" t="s">
        <v>135</v>
      </c>
      <c r="C110" s="5">
        <v>37155</v>
      </c>
      <c r="D110" s="4" t="s">
        <v>139</v>
      </c>
      <c r="E110" s="66" t="s">
        <v>281</v>
      </c>
      <c r="F110" s="71"/>
      <c r="G110" s="57">
        <v>1</v>
      </c>
    </row>
    <row r="111" spans="1:10" ht="21.75" customHeight="1" x14ac:dyDescent="0.2">
      <c r="A111" s="70">
        <f t="shared" si="1"/>
        <v>109</v>
      </c>
      <c r="B111" s="4" t="s">
        <v>134</v>
      </c>
      <c r="C111" s="5">
        <v>37161</v>
      </c>
      <c r="D111" s="4" t="s">
        <v>102</v>
      </c>
      <c r="E111" s="66" t="s">
        <v>96</v>
      </c>
      <c r="F111" s="71"/>
    </row>
    <row r="112" spans="1:10" ht="21.75" customHeight="1" x14ac:dyDescent="0.2">
      <c r="A112" s="70">
        <f t="shared" si="1"/>
        <v>110</v>
      </c>
      <c r="B112" s="4" t="s">
        <v>133</v>
      </c>
      <c r="C112" s="5">
        <v>37165</v>
      </c>
      <c r="D112" s="4" t="s">
        <v>102</v>
      </c>
      <c r="E112" s="66" t="s">
        <v>96</v>
      </c>
      <c r="F112" s="71"/>
    </row>
    <row r="113" spans="1:10" ht="21.75" customHeight="1" x14ac:dyDescent="0.2">
      <c r="A113" s="70">
        <f t="shared" si="1"/>
        <v>111</v>
      </c>
      <c r="B113" s="4" t="s">
        <v>132</v>
      </c>
      <c r="C113" s="5">
        <v>37201</v>
      </c>
      <c r="D113" s="4" t="s">
        <v>110</v>
      </c>
      <c r="E113" s="4" t="s">
        <v>96</v>
      </c>
      <c r="F113" s="68"/>
      <c r="G113"/>
      <c r="H113"/>
      <c r="I113"/>
      <c r="J113"/>
    </row>
    <row r="114" spans="1:10" ht="21.75" customHeight="1" x14ac:dyDescent="0.2">
      <c r="A114" s="70">
        <f t="shared" si="1"/>
        <v>112</v>
      </c>
      <c r="B114" s="4" t="s">
        <v>131</v>
      </c>
      <c r="C114" s="5">
        <v>37207</v>
      </c>
      <c r="D114" s="4" t="s">
        <v>130</v>
      </c>
      <c r="E114" s="4" t="s">
        <v>96</v>
      </c>
      <c r="F114" s="68"/>
      <c r="G114"/>
      <c r="H114"/>
      <c r="I114"/>
      <c r="J114"/>
    </row>
    <row r="115" spans="1:10" ht="21.75" customHeight="1" x14ac:dyDescent="0.2">
      <c r="A115" s="70">
        <f t="shared" si="1"/>
        <v>113</v>
      </c>
      <c r="B115" s="4" t="s">
        <v>129</v>
      </c>
      <c r="C115" s="5">
        <v>37301</v>
      </c>
      <c r="D115" s="4" t="s">
        <v>102</v>
      </c>
      <c r="E115" s="66" t="s">
        <v>96</v>
      </c>
      <c r="F115" s="71"/>
    </row>
    <row r="116" spans="1:10" ht="21.75" customHeight="1" x14ac:dyDescent="0.2">
      <c r="A116" s="70">
        <f t="shared" si="1"/>
        <v>114</v>
      </c>
      <c r="B116" s="4" t="s">
        <v>128</v>
      </c>
      <c r="C116" s="5">
        <v>38671</v>
      </c>
      <c r="D116" s="4" t="s">
        <v>102</v>
      </c>
      <c r="E116" s="66" t="s">
        <v>96</v>
      </c>
      <c r="F116" s="71"/>
    </row>
    <row r="117" spans="1:10" ht="21.75" customHeight="1" x14ac:dyDescent="0.2">
      <c r="A117" s="70">
        <f t="shared" si="1"/>
        <v>115</v>
      </c>
      <c r="B117" s="4" t="s">
        <v>127</v>
      </c>
      <c r="C117" s="5">
        <v>38672</v>
      </c>
      <c r="D117" s="4" t="s">
        <v>658</v>
      </c>
      <c r="E117" s="4">
        <v>3</v>
      </c>
      <c r="F117" s="68"/>
      <c r="G117"/>
      <c r="H117"/>
      <c r="I117"/>
      <c r="J117"/>
    </row>
    <row r="118" spans="1:10" ht="21.75" customHeight="1" x14ac:dyDescent="0.2">
      <c r="A118" s="70">
        <f t="shared" si="1"/>
        <v>116</v>
      </c>
      <c r="B118" s="4" t="s">
        <v>126</v>
      </c>
      <c r="C118" s="5">
        <v>38673</v>
      </c>
      <c r="D118" s="4" t="s">
        <v>104</v>
      </c>
      <c r="E118" s="4" t="s">
        <v>96</v>
      </c>
      <c r="F118" s="68"/>
      <c r="G118"/>
      <c r="H118"/>
      <c r="I118"/>
      <c r="J118"/>
    </row>
    <row r="119" spans="1:10" ht="21.75" customHeight="1" x14ac:dyDescent="0.2">
      <c r="A119" s="70">
        <f t="shared" si="1"/>
        <v>117</v>
      </c>
      <c r="B119" s="4" t="s">
        <v>125</v>
      </c>
      <c r="C119" s="5">
        <v>38674</v>
      </c>
      <c r="D119" s="4" t="s">
        <v>102</v>
      </c>
      <c r="E119" s="66" t="s">
        <v>96</v>
      </c>
      <c r="F119" s="71"/>
    </row>
    <row r="120" spans="1:10" ht="21.75" customHeight="1" x14ac:dyDescent="0.2">
      <c r="A120" s="70">
        <f t="shared" si="1"/>
        <v>118</v>
      </c>
      <c r="B120" s="4" t="s">
        <v>124</v>
      </c>
      <c r="C120" s="5">
        <v>38678</v>
      </c>
      <c r="D120" s="4" t="s">
        <v>102</v>
      </c>
      <c r="E120" s="66" t="s">
        <v>281</v>
      </c>
      <c r="F120" s="71"/>
      <c r="G120" s="57" t="s">
        <v>281</v>
      </c>
      <c r="H120" s="57">
        <v>1</v>
      </c>
    </row>
    <row r="121" spans="1:10" ht="21.75" customHeight="1" x14ac:dyDescent="0.2">
      <c r="A121" s="70">
        <f t="shared" si="1"/>
        <v>119</v>
      </c>
      <c r="B121" s="4" t="s">
        <v>123</v>
      </c>
      <c r="C121" s="5">
        <v>38684</v>
      </c>
      <c r="D121" s="4" t="s">
        <v>102</v>
      </c>
      <c r="E121" s="66" t="s">
        <v>90</v>
      </c>
      <c r="F121" s="71"/>
    </row>
    <row r="122" spans="1:10" ht="21.75" customHeight="1" x14ac:dyDescent="0.2">
      <c r="A122" s="70">
        <f t="shared" si="1"/>
        <v>120</v>
      </c>
      <c r="B122" s="72" t="s">
        <v>122</v>
      </c>
      <c r="C122" s="5">
        <v>38687</v>
      </c>
      <c r="D122" s="4" t="s">
        <v>120</v>
      </c>
      <c r="E122" s="4">
        <v>3</v>
      </c>
      <c r="F122" s="68"/>
      <c r="G122"/>
      <c r="H122"/>
      <c r="I122"/>
      <c r="J122"/>
    </row>
    <row r="123" spans="1:10" ht="21.75" customHeight="1" x14ac:dyDescent="0.2">
      <c r="A123" s="70">
        <f t="shared" si="1"/>
        <v>121</v>
      </c>
      <c r="B123" s="72" t="s">
        <v>121</v>
      </c>
      <c r="C123" s="5">
        <v>38688</v>
      </c>
      <c r="D123" s="4" t="s">
        <v>120</v>
      </c>
      <c r="E123" s="4">
        <v>1</v>
      </c>
      <c r="F123" s="68"/>
      <c r="G123"/>
      <c r="H123"/>
      <c r="I123"/>
      <c r="J123"/>
    </row>
    <row r="124" spans="1:10" ht="21.75" customHeight="1" x14ac:dyDescent="0.2">
      <c r="A124" s="70">
        <f t="shared" si="1"/>
        <v>122</v>
      </c>
      <c r="B124" s="4" t="s">
        <v>119</v>
      </c>
      <c r="C124" s="5">
        <v>38691</v>
      </c>
      <c r="D124" s="4" t="s">
        <v>110</v>
      </c>
      <c r="E124" s="4" t="s">
        <v>96</v>
      </c>
      <c r="F124" s="68"/>
      <c r="G124"/>
      <c r="H124"/>
      <c r="I124"/>
      <c r="J124"/>
    </row>
    <row r="125" spans="1:10" ht="21.75" customHeight="1" x14ac:dyDescent="0.2">
      <c r="A125" s="70">
        <f t="shared" si="1"/>
        <v>123</v>
      </c>
      <c r="B125" s="4" t="s">
        <v>118</v>
      </c>
      <c r="C125" s="5">
        <v>38727</v>
      </c>
      <c r="D125" s="4" t="s">
        <v>102</v>
      </c>
      <c r="E125" s="66">
        <v>1</v>
      </c>
      <c r="F125" s="71"/>
    </row>
    <row r="126" spans="1:10" ht="21.75" customHeight="1" x14ac:dyDescent="0.2">
      <c r="A126" s="70">
        <f t="shared" si="1"/>
        <v>124</v>
      </c>
      <c r="B126" s="4" t="s">
        <v>117</v>
      </c>
      <c r="C126" s="5">
        <v>38783</v>
      </c>
      <c r="D126" s="4" t="s">
        <v>102</v>
      </c>
      <c r="E126" s="66">
        <v>2</v>
      </c>
      <c r="F126" s="71"/>
    </row>
    <row r="127" spans="1:10" ht="21.75" customHeight="1" x14ac:dyDescent="0.2">
      <c r="A127" s="70">
        <f t="shared" si="1"/>
        <v>125</v>
      </c>
      <c r="B127" s="4" t="s">
        <v>116</v>
      </c>
      <c r="C127" s="5">
        <v>38820</v>
      </c>
      <c r="D127" s="4" t="s">
        <v>102</v>
      </c>
      <c r="E127" s="66" t="s">
        <v>90</v>
      </c>
      <c r="F127" s="71"/>
    </row>
    <row r="128" spans="1:10" ht="21.75" customHeight="1" x14ac:dyDescent="0.2">
      <c r="A128" s="70">
        <f t="shared" si="1"/>
        <v>126</v>
      </c>
      <c r="B128" s="4" t="s">
        <v>115</v>
      </c>
      <c r="C128" s="5">
        <v>38887</v>
      </c>
      <c r="D128" s="4" t="s">
        <v>114</v>
      </c>
      <c r="E128" s="4" t="s">
        <v>90</v>
      </c>
      <c r="F128" s="68"/>
      <c r="G128"/>
      <c r="H128"/>
      <c r="I128"/>
      <c r="J128"/>
    </row>
    <row r="129" spans="1:10" ht="21.75" customHeight="1" x14ac:dyDescent="0.2">
      <c r="A129" s="70">
        <f t="shared" si="1"/>
        <v>127</v>
      </c>
      <c r="B129" s="4" t="s">
        <v>113</v>
      </c>
      <c r="C129" s="5">
        <v>38888</v>
      </c>
      <c r="D129" s="4" t="s">
        <v>112</v>
      </c>
      <c r="E129" s="4" t="s">
        <v>96</v>
      </c>
      <c r="F129" s="68"/>
      <c r="G129"/>
      <c r="H129"/>
      <c r="I129"/>
      <c r="J129"/>
    </row>
    <row r="130" spans="1:10" ht="21.75" customHeight="1" x14ac:dyDescent="0.2">
      <c r="A130" s="70">
        <f t="shared" si="1"/>
        <v>128</v>
      </c>
      <c r="B130" s="4" t="s">
        <v>111</v>
      </c>
      <c r="C130" s="5">
        <v>38915</v>
      </c>
      <c r="D130" s="4" t="s">
        <v>110</v>
      </c>
      <c r="E130" s="4">
        <v>1</v>
      </c>
      <c r="F130" s="68"/>
      <c r="G130"/>
      <c r="H130"/>
      <c r="I130"/>
      <c r="J130"/>
    </row>
    <row r="131" spans="1:10" ht="21.75" customHeight="1" x14ac:dyDescent="0.2">
      <c r="A131" s="70">
        <f t="shared" si="1"/>
        <v>129</v>
      </c>
      <c r="B131" s="4" t="s">
        <v>109</v>
      </c>
      <c r="C131" s="5">
        <v>38916</v>
      </c>
      <c r="D131" s="4" t="s">
        <v>102</v>
      </c>
      <c r="E131" s="66">
        <v>1</v>
      </c>
      <c r="F131" s="71"/>
    </row>
    <row r="132" spans="1:10" ht="21.75" customHeight="1" x14ac:dyDescent="0.2">
      <c r="A132" s="70">
        <f t="shared" ref="A132:A195" si="2">A131+1</f>
        <v>130</v>
      </c>
      <c r="B132" s="4" t="s">
        <v>108</v>
      </c>
      <c r="C132" s="5">
        <v>38919</v>
      </c>
      <c r="D132" s="4" t="s">
        <v>102</v>
      </c>
      <c r="E132" s="66">
        <v>1</v>
      </c>
      <c r="F132" s="71"/>
    </row>
    <row r="133" spans="1:10" ht="21.75" customHeight="1" x14ac:dyDescent="0.2">
      <c r="A133" s="70">
        <f t="shared" si="2"/>
        <v>131</v>
      </c>
      <c r="B133" s="4" t="s">
        <v>107</v>
      </c>
      <c r="C133" s="5">
        <v>39030</v>
      </c>
      <c r="D133" s="4" t="s">
        <v>104</v>
      </c>
      <c r="E133" s="4" t="s">
        <v>96</v>
      </c>
      <c r="F133" s="68"/>
      <c r="G133"/>
      <c r="H133"/>
      <c r="I133"/>
      <c r="J133"/>
    </row>
    <row r="134" spans="1:10" ht="21.75" customHeight="1" x14ac:dyDescent="0.2">
      <c r="A134" s="70">
        <f t="shared" si="2"/>
        <v>132</v>
      </c>
      <c r="B134" s="4" t="s">
        <v>106</v>
      </c>
      <c r="C134" s="5">
        <v>39031</v>
      </c>
      <c r="D134" s="4" t="s">
        <v>104</v>
      </c>
      <c r="E134" s="4" t="s">
        <v>96</v>
      </c>
      <c r="F134" s="68"/>
      <c r="G134"/>
      <c r="H134"/>
      <c r="I134"/>
      <c r="J134"/>
    </row>
    <row r="135" spans="1:10" ht="21.75" customHeight="1" x14ac:dyDescent="0.2">
      <c r="A135" s="70">
        <f t="shared" si="2"/>
        <v>133</v>
      </c>
      <c r="B135" s="4" t="s">
        <v>105</v>
      </c>
      <c r="C135" s="5">
        <v>39043</v>
      </c>
      <c r="D135" s="4" t="s">
        <v>104</v>
      </c>
      <c r="E135" s="4" t="s">
        <v>96</v>
      </c>
      <c r="F135" s="68"/>
      <c r="G135"/>
      <c r="H135"/>
      <c r="I135"/>
      <c r="J135"/>
    </row>
    <row r="136" spans="1:10" ht="21.75" customHeight="1" x14ac:dyDescent="0.2">
      <c r="A136" s="70">
        <f t="shared" si="2"/>
        <v>134</v>
      </c>
      <c r="B136" s="4" t="s">
        <v>103</v>
      </c>
      <c r="C136" s="5">
        <v>39062</v>
      </c>
      <c r="D136" s="4" t="s">
        <v>102</v>
      </c>
      <c r="E136" s="66">
        <v>1</v>
      </c>
      <c r="F136" s="71"/>
    </row>
    <row r="137" spans="1:10" ht="21.75" customHeight="1" x14ac:dyDescent="0.2">
      <c r="A137" s="70">
        <f t="shared" si="2"/>
        <v>135</v>
      </c>
      <c r="B137" s="4" t="s">
        <v>101</v>
      </c>
      <c r="C137" s="5">
        <v>41200</v>
      </c>
      <c r="D137" s="4" t="s">
        <v>100</v>
      </c>
      <c r="E137" s="4">
        <v>1</v>
      </c>
      <c r="F137" s="68"/>
      <c r="G137"/>
      <c r="H137"/>
      <c r="I137"/>
      <c r="J137"/>
    </row>
    <row r="138" spans="1:10" ht="21.75" customHeight="1" x14ac:dyDescent="0.2">
      <c r="A138" s="70">
        <f t="shared" si="2"/>
        <v>136</v>
      </c>
      <c r="B138" s="4" t="s">
        <v>99</v>
      </c>
      <c r="C138" s="5">
        <v>41205</v>
      </c>
      <c r="D138" s="4" t="s">
        <v>660</v>
      </c>
      <c r="E138" s="4">
        <v>1</v>
      </c>
      <c r="F138" s="68"/>
      <c r="G138"/>
      <c r="H138"/>
      <c r="I138"/>
      <c r="J138"/>
    </row>
    <row r="139" spans="1:10" ht="21.75" customHeight="1" x14ac:dyDescent="0.2">
      <c r="A139" s="70">
        <f t="shared" si="2"/>
        <v>137</v>
      </c>
      <c r="B139" s="4" t="s">
        <v>98</v>
      </c>
      <c r="C139" s="5">
        <v>41218</v>
      </c>
      <c r="D139" s="4" t="s">
        <v>97</v>
      </c>
      <c r="E139" s="4" t="s">
        <v>96</v>
      </c>
      <c r="F139" s="68"/>
      <c r="G139"/>
      <c r="H139"/>
      <c r="I139"/>
      <c r="J139"/>
    </row>
    <row r="140" spans="1:10" ht="21.75" customHeight="1" x14ac:dyDescent="0.2">
      <c r="A140" s="70">
        <f t="shared" si="2"/>
        <v>138</v>
      </c>
      <c r="B140" s="4" t="s">
        <v>95</v>
      </c>
      <c r="C140" s="5">
        <v>41240</v>
      </c>
      <c r="D140" s="4" t="s">
        <v>93</v>
      </c>
      <c r="E140" s="66">
        <v>1</v>
      </c>
      <c r="F140" s="71"/>
    </row>
    <row r="141" spans="1:10" ht="21.75" customHeight="1" x14ac:dyDescent="0.2">
      <c r="A141" s="70">
        <f t="shared" si="2"/>
        <v>139</v>
      </c>
      <c r="B141" s="4" t="s">
        <v>94</v>
      </c>
      <c r="C141" s="5">
        <v>41271</v>
      </c>
      <c r="D141" s="4" t="s">
        <v>93</v>
      </c>
      <c r="E141" s="66" t="s">
        <v>281</v>
      </c>
      <c r="F141" s="71"/>
      <c r="G141" s="57" t="s">
        <v>281</v>
      </c>
      <c r="H141" s="57">
        <v>1</v>
      </c>
      <c r="I141" s="57">
        <v>2</v>
      </c>
      <c r="J141" s="57">
        <v>3</v>
      </c>
    </row>
    <row r="142" spans="1:10" ht="21.75" customHeight="1" x14ac:dyDescent="0.2">
      <c r="A142" s="70">
        <f t="shared" si="2"/>
        <v>140</v>
      </c>
      <c r="B142" s="4" t="s">
        <v>92</v>
      </c>
      <c r="C142" s="5">
        <v>41498</v>
      </c>
      <c r="D142" s="4" t="s">
        <v>91</v>
      </c>
      <c r="E142" s="66">
        <v>1</v>
      </c>
      <c r="F142" s="71"/>
    </row>
    <row r="143" spans="1:10" ht="21.75" customHeight="1" x14ac:dyDescent="0.2">
      <c r="A143" s="70">
        <f t="shared" si="2"/>
        <v>141</v>
      </c>
      <c r="B143" s="72" t="s">
        <v>89</v>
      </c>
      <c r="C143" s="3">
        <v>42114</v>
      </c>
      <c r="D143" s="1" t="s">
        <v>120</v>
      </c>
      <c r="E143" s="1">
        <v>2</v>
      </c>
      <c r="F143" s="73"/>
      <c r="G143"/>
      <c r="H143"/>
      <c r="I143"/>
      <c r="J143"/>
    </row>
    <row r="144" spans="1:10" ht="21.75" customHeight="1" x14ac:dyDescent="0.2">
      <c r="A144" s="70">
        <f t="shared" si="2"/>
        <v>142</v>
      </c>
      <c r="B144" s="2" t="s">
        <v>88</v>
      </c>
      <c r="C144" s="3">
        <v>42114</v>
      </c>
      <c r="D144" s="1" t="s">
        <v>67</v>
      </c>
      <c r="E144" s="74">
        <v>2</v>
      </c>
      <c r="F144" s="75"/>
    </row>
    <row r="145" spans="1:10" ht="21.75" customHeight="1" x14ac:dyDescent="0.2">
      <c r="A145" s="70">
        <f t="shared" si="2"/>
        <v>143</v>
      </c>
      <c r="B145" s="2" t="s">
        <v>87</v>
      </c>
      <c r="C145" s="3">
        <v>42114</v>
      </c>
      <c r="D145" s="1" t="s">
        <v>67</v>
      </c>
      <c r="E145" s="74" t="s">
        <v>281</v>
      </c>
      <c r="F145" s="75"/>
    </row>
    <row r="146" spans="1:10" ht="21.75" customHeight="1" x14ac:dyDescent="0.2">
      <c r="A146" s="70">
        <f t="shared" si="2"/>
        <v>144</v>
      </c>
      <c r="B146" s="2" t="s">
        <v>86</v>
      </c>
      <c r="C146" s="3">
        <v>42114</v>
      </c>
      <c r="D146" s="1" t="s">
        <v>67</v>
      </c>
      <c r="E146" s="74">
        <v>2</v>
      </c>
      <c r="F146" s="75"/>
    </row>
    <row r="147" spans="1:10" ht="21.75" customHeight="1" x14ac:dyDescent="0.2">
      <c r="A147" s="70">
        <f t="shared" si="2"/>
        <v>145</v>
      </c>
      <c r="B147" s="76" t="s">
        <v>85</v>
      </c>
      <c r="C147" s="3">
        <v>42128</v>
      </c>
      <c r="D147" s="1" t="s">
        <v>120</v>
      </c>
      <c r="E147" s="1">
        <v>2</v>
      </c>
      <c r="F147" s="73"/>
      <c r="G147"/>
      <c r="H147"/>
      <c r="I147"/>
      <c r="J147"/>
    </row>
    <row r="148" spans="1:10" ht="21.75" customHeight="1" x14ac:dyDescent="0.2">
      <c r="A148" s="70">
        <f t="shared" si="2"/>
        <v>146</v>
      </c>
      <c r="B148" s="2" t="s">
        <v>84</v>
      </c>
      <c r="C148" s="3">
        <v>42142</v>
      </c>
      <c r="D148" s="1" t="s">
        <v>658</v>
      </c>
      <c r="E148" s="1">
        <v>2</v>
      </c>
      <c r="F148" s="73"/>
      <c r="G148"/>
      <c r="H148"/>
      <c r="I148"/>
      <c r="J148"/>
    </row>
    <row r="149" spans="1:10" ht="21.75" customHeight="1" x14ac:dyDescent="0.2">
      <c r="A149" s="70">
        <f t="shared" si="2"/>
        <v>147</v>
      </c>
      <c r="B149" s="2" t="s">
        <v>83</v>
      </c>
      <c r="C149" s="3">
        <v>42142</v>
      </c>
      <c r="D149" s="1" t="s">
        <v>658</v>
      </c>
      <c r="E149" s="1">
        <v>2</v>
      </c>
      <c r="F149" s="73"/>
      <c r="G149"/>
      <c r="H149"/>
      <c r="I149"/>
      <c r="J149"/>
    </row>
    <row r="150" spans="1:10" ht="21.75" customHeight="1" x14ac:dyDescent="0.2">
      <c r="A150" s="70">
        <f t="shared" si="2"/>
        <v>148</v>
      </c>
      <c r="B150" s="76" t="s">
        <v>82</v>
      </c>
      <c r="C150" s="3">
        <v>42170</v>
      </c>
      <c r="D150" s="1" t="s">
        <v>120</v>
      </c>
      <c r="E150" s="1">
        <v>1</v>
      </c>
      <c r="F150" s="73"/>
      <c r="G150"/>
      <c r="H150"/>
      <c r="I150"/>
      <c r="J150"/>
    </row>
    <row r="151" spans="1:10" ht="21.75" customHeight="1" x14ac:dyDescent="0.2">
      <c r="A151" s="70">
        <f t="shared" si="2"/>
        <v>149</v>
      </c>
      <c r="B151" s="2" t="s">
        <v>81</v>
      </c>
      <c r="C151" s="3">
        <v>42170</v>
      </c>
      <c r="D151" s="1" t="s">
        <v>67</v>
      </c>
      <c r="E151" s="74">
        <v>2</v>
      </c>
      <c r="F151" s="75"/>
    </row>
    <row r="152" spans="1:10" ht="21.75" customHeight="1" x14ac:dyDescent="0.2">
      <c r="A152" s="70">
        <f t="shared" si="2"/>
        <v>150</v>
      </c>
      <c r="B152" s="2" t="s">
        <v>80</v>
      </c>
      <c r="C152" s="3">
        <v>42177</v>
      </c>
      <c r="D152" s="1" t="s">
        <v>660</v>
      </c>
      <c r="E152" s="1">
        <v>2</v>
      </c>
      <c r="F152" s="73"/>
      <c r="G152"/>
      <c r="H152"/>
      <c r="I152"/>
      <c r="J152"/>
    </row>
    <row r="153" spans="1:10" ht="21.75" customHeight="1" x14ac:dyDescent="0.2">
      <c r="A153" s="70">
        <f t="shared" si="2"/>
        <v>151</v>
      </c>
      <c r="B153" s="2" t="s">
        <v>79</v>
      </c>
      <c r="C153" s="3">
        <v>42192</v>
      </c>
      <c r="D153" s="1" t="s">
        <v>660</v>
      </c>
      <c r="E153" s="1" t="s">
        <v>281</v>
      </c>
      <c r="F153" s="73"/>
      <c r="G153"/>
      <c r="H153"/>
      <c r="I153"/>
      <c r="J153"/>
    </row>
    <row r="154" spans="1:10" ht="21.75" customHeight="1" x14ac:dyDescent="0.2">
      <c r="A154" s="70">
        <f t="shared" si="2"/>
        <v>152</v>
      </c>
      <c r="B154" s="76" t="s">
        <v>78</v>
      </c>
      <c r="C154" s="3">
        <v>42219</v>
      </c>
      <c r="D154" s="2" t="s">
        <v>120</v>
      </c>
      <c r="E154" s="1">
        <v>2</v>
      </c>
      <c r="F154" s="73"/>
      <c r="G154"/>
      <c r="H154"/>
      <c r="I154"/>
      <c r="J154"/>
    </row>
    <row r="155" spans="1:10" ht="21.75" customHeight="1" x14ac:dyDescent="0.2">
      <c r="A155" s="70">
        <f t="shared" si="2"/>
        <v>153</v>
      </c>
      <c r="B155" s="2" t="s">
        <v>77</v>
      </c>
      <c r="C155" s="3">
        <v>42219</v>
      </c>
      <c r="D155" s="2" t="s">
        <v>67</v>
      </c>
      <c r="E155" s="74">
        <v>2</v>
      </c>
      <c r="F155" s="75"/>
    </row>
    <row r="156" spans="1:10" ht="21.75" customHeight="1" x14ac:dyDescent="0.2">
      <c r="A156" s="70">
        <f t="shared" si="2"/>
        <v>154</v>
      </c>
      <c r="B156" s="2" t="s">
        <v>76</v>
      </c>
      <c r="C156" s="3">
        <v>42219</v>
      </c>
      <c r="D156" s="2" t="s">
        <v>67</v>
      </c>
      <c r="E156" s="74">
        <v>2</v>
      </c>
      <c r="F156" s="75"/>
    </row>
    <row r="157" spans="1:10" ht="21.75" customHeight="1" x14ac:dyDescent="0.2">
      <c r="A157" s="70">
        <f t="shared" si="2"/>
        <v>155</v>
      </c>
      <c r="B157" s="2" t="s">
        <v>75</v>
      </c>
      <c r="C157" s="3">
        <v>42233</v>
      </c>
      <c r="D157" s="2" t="s">
        <v>661</v>
      </c>
      <c r="E157" s="74">
        <v>2</v>
      </c>
      <c r="F157" s="75"/>
    </row>
    <row r="158" spans="1:10" ht="21.75" customHeight="1" x14ac:dyDescent="0.2">
      <c r="A158" s="70">
        <f t="shared" si="2"/>
        <v>156</v>
      </c>
      <c r="B158" s="2" t="s">
        <v>74</v>
      </c>
      <c r="C158" s="3">
        <v>42233</v>
      </c>
      <c r="D158" s="2" t="s">
        <v>67</v>
      </c>
      <c r="E158" s="74">
        <v>3</v>
      </c>
      <c r="F158" s="75">
        <v>3</v>
      </c>
      <c r="G158" s="57" t="s">
        <v>281</v>
      </c>
      <c r="H158" s="57">
        <v>1</v>
      </c>
      <c r="I158" s="57">
        <v>3</v>
      </c>
      <c r="J158" s="57">
        <v>2</v>
      </c>
    </row>
    <row r="159" spans="1:10" ht="21.75" customHeight="1" x14ac:dyDescent="0.2">
      <c r="A159" s="70">
        <f t="shared" si="2"/>
        <v>157</v>
      </c>
      <c r="B159" s="2" t="s">
        <v>73</v>
      </c>
      <c r="C159" s="3">
        <v>42233</v>
      </c>
      <c r="D159" s="2" t="s">
        <v>67</v>
      </c>
      <c r="E159" s="74">
        <v>1</v>
      </c>
      <c r="F159" s="75">
        <v>1</v>
      </c>
    </row>
    <row r="160" spans="1:10" ht="21.75" customHeight="1" x14ac:dyDescent="0.2">
      <c r="A160" s="70">
        <f t="shared" si="2"/>
        <v>158</v>
      </c>
      <c r="B160" s="2" t="s">
        <v>72</v>
      </c>
      <c r="C160" s="3">
        <v>42247</v>
      </c>
      <c r="D160" s="2" t="s">
        <v>120</v>
      </c>
      <c r="E160" s="1">
        <v>2</v>
      </c>
      <c r="F160" s="73"/>
      <c r="G160"/>
      <c r="H160"/>
      <c r="I160"/>
      <c r="J160"/>
    </row>
    <row r="161" spans="1:10" ht="21.75" customHeight="1" x14ac:dyDescent="0.2">
      <c r="A161" s="77">
        <f t="shared" si="2"/>
        <v>159</v>
      </c>
      <c r="B161" s="9" t="s">
        <v>71</v>
      </c>
      <c r="C161" s="78">
        <v>42247</v>
      </c>
      <c r="D161" s="9" t="s">
        <v>67</v>
      </c>
      <c r="E161" s="74">
        <v>2</v>
      </c>
      <c r="F161" s="75">
        <v>1</v>
      </c>
    </row>
    <row r="162" spans="1:10" ht="21.75" customHeight="1" x14ac:dyDescent="0.2">
      <c r="A162" s="70">
        <f t="shared" si="2"/>
        <v>160</v>
      </c>
      <c r="B162" s="76" t="s">
        <v>70</v>
      </c>
      <c r="C162" s="3">
        <v>42247</v>
      </c>
      <c r="D162" s="2" t="s">
        <v>120</v>
      </c>
      <c r="E162" s="1">
        <v>2</v>
      </c>
      <c r="F162" s="73"/>
      <c r="G162"/>
      <c r="H162"/>
      <c r="I162"/>
      <c r="J162"/>
    </row>
    <row r="163" spans="1:10" ht="21.75" customHeight="1" x14ac:dyDescent="0.2">
      <c r="A163" s="70">
        <f t="shared" si="2"/>
        <v>161</v>
      </c>
      <c r="B163" s="76" t="s">
        <v>69</v>
      </c>
      <c r="C163" s="3">
        <v>42255</v>
      </c>
      <c r="D163" s="2" t="s">
        <v>120</v>
      </c>
      <c r="E163" s="1">
        <v>2</v>
      </c>
      <c r="F163" s="73"/>
      <c r="G163"/>
      <c r="H163"/>
      <c r="I163"/>
      <c r="J163"/>
    </row>
    <row r="164" spans="1:10" ht="21.75" customHeight="1" x14ac:dyDescent="0.2">
      <c r="A164" s="77">
        <f t="shared" si="2"/>
        <v>162</v>
      </c>
      <c r="B164" s="9" t="s">
        <v>68</v>
      </c>
      <c r="C164" s="78">
        <v>42255</v>
      </c>
      <c r="D164" s="9" t="s">
        <v>67</v>
      </c>
      <c r="E164" s="74">
        <v>3</v>
      </c>
      <c r="F164" s="75">
        <v>1</v>
      </c>
      <c r="G164" s="57">
        <v>3</v>
      </c>
      <c r="H164" s="57">
        <v>2</v>
      </c>
      <c r="I164" s="57">
        <v>1</v>
      </c>
      <c r="J164" s="57" t="s">
        <v>281</v>
      </c>
    </row>
    <row r="165" spans="1:10" ht="21.75" customHeight="1" x14ac:dyDescent="0.2">
      <c r="A165" s="70">
        <f t="shared" si="2"/>
        <v>163</v>
      </c>
      <c r="B165" s="76" t="s">
        <v>662</v>
      </c>
      <c r="C165" s="3">
        <v>42282</v>
      </c>
      <c r="D165" s="2" t="s">
        <v>120</v>
      </c>
      <c r="E165" s="1">
        <v>2</v>
      </c>
      <c r="F165" s="73"/>
      <c r="G165"/>
      <c r="H165"/>
      <c r="I165"/>
      <c r="J165"/>
    </row>
    <row r="166" spans="1:10" ht="21.75" customHeight="1" x14ac:dyDescent="0.2">
      <c r="A166" s="77">
        <f t="shared" si="2"/>
        <v>164</v>
      </c>
      <c r="B166" s="9" t="s">
        <v>663</v>
      </c>
      <c r="C166" s="78">
        <v>42282</v>
      </c>
      <c r="D166" s="9" t="s">
        <v>67</v>
      </c>
      <c r="E166" s="74">
        <v>2</v>
      </c>
      <c r="F166" s="75">
        <v>1</v>
      </c>
      <c r="G166" s="57">
        <v>1</v>
      </c>
      <c r="H166" s="57">
        <v>2</v>
      </c>
      <c r="I166" s="57">
        <v>3</v>
      </c>
    </row>
    <row r="167" spans="1:10" ht="21.75" customHeight="1" x14ac:dyDescent="0.2">
      <c r="A167" s="77">
        <f t="shared" si="2"/>
        <v>165</v>
      </c>
      <c r="B167" s="9" t="s">
        <v>664</v>
      </c>
      <c r="C167" s="78">
        <v>42282</v>
      </c>
      <c r="D167" s="9" t="s">
        <v>67</v>
      </c>
      <c r="E167" s="74">
        <v>3</v>
      </c>
      <c r="F167" s="75">
        <v>1</v>
      </c>
      <c r="G167" s="57">
        <v>1</v>
      </c>
      <c r="H167" s="57">
        <v>3</v>
      </c>
    </row>
    <row r="168" spans="1:10" ht="21.75" customHeight="1" x14ac:dyDescent="0.2">
      <c r="A168" s="77">
        <f t="shared" si="2"/>
        <v>166</v>
      </c>
      <c r="B168" s="9" t="s">
        <v>665</v>
      </c>
      <c r="C168" s="78">
        <v>42282</v>
      </c>
      <c r="D168" s="9" t="s">
        <v>67</v>
      </c>
      <c r="E168" s="74">
        <v>2</v>
      </c>
      <c r="F168" s="75">
        <v>1</v>
      </c>
      <c r="G168" s="57">
        <v>1</v>
      </c>
      <c r="H168" s="57" t="s">
        <v>281</v>
      </c>
      <c r="I168" s="57">
        <v>2</v>
      </c>
      <c r="J168" s="57">
        <v>3</v>
      </c>
    </row>
    <row r="169" spans="1:10" ht="21.75" customHeight="1" x14ac:dyDescent="0.2">
      <c r="A169" s="77">
        <f t="shared" si="2"/>
        <v>167</v>
      </c>
      <c r="B169" s="9" t="s">
        <v>339</v>
      </c>
      <c r="C169" s="78">
        <v>42290</v>
      </c>
      <c r="D169" s="9" t="s">
        <v>67</v>
      </c>
      <c r="E169" s="74">
        <v>2</v>
      </c>
      <c r="F169" s="75">
        <v>1</v>
      </c>
      <c r="G169" s="57">
        <v>2</v>
      </c>
      <c r="H169" s="57">
        <v>1</v>
      </c>
      <c r="I169" s="57">
        <v>3</v>
      </c>
      <c r="J169" s="57" t="s">
        <v>281</v>
      </c>
    </row>
    <row r="170" spans="1:10" ht="21.75" customHeight="1" x14ac:dyDescent="0.2">
      <c r="A170" s="79">
        <f t="shared" si="2"/>
        <v>168</v>
      </c>
      <c r="B170" s="80" t="s">
        <v>666</v>
      </c>
      <c r="C170" s="81">
        <v>42296</v>
      </c>
      <c r="D170" s="80" t="s">
        <v>67</v>
      </c>
      <c r="E170" s="82">
        <v>2</v>
      </c>
      <c r="F170" s="83">
        <v>1</v>
      </c>
      <c r="G170" s="57">
        <v>3</v>
      </c>
      <c r="H170" s="57">
        <v>1</v>
      </c>
      <c r="I170" s="57" t="s">
        <v>281</v>
      </c>
      <c r="J170" s="57">
        <v>2</v>
      </c>
    </row>
    <row r="171" spans="1:10" ht="21.75" customHeight="1" x14ac:dyDescent="0.2">
      <c r="A171" s="70">
        <f t="shared" si="2"/>
        <v>169</v>
      </c>
      <c r="B171" s="2" t="s">
        <v>667</v>
      </c>
      <c r="C171" s="84">
        <v>42296</v>
      </c>
      <c r="D171" s="2" t="s">
        <v>67</v>
      </c>
      <c r="E171" s="74">
        <v>2</v>
      </c>
      <c r="F171" s="75">
        <v>2</v>
      </c>
      <c r="G171" s="57">
        <v>1</v>
      </c>
      <c r="H171" s="57">
        <v>2</v>
      </c>
      <c r="I171" s="57" t="s">
        <v>281</v>
      </c>
      <c r="J171" s="57">
        <v>1</v>
      </c>
    </row>
    <row r="172" spans="1:10" ht="21.75" customHeight="1" x14ac:dyDescent="0.2">
      <c r="A172" s="70">
        <f t="shared" si="2"/>
        <v>170</v>
      </c>
      <c r="B172" s="2" t="s">
        <v>668</v>
      </c>
      <c r="C172" s="84">
        <v>42296</v>
      </c>
      <c r="D172" s="2" t="s">
        <v>669</v>
      </c>
      <c r="E172" s="1">
        <v>2</v>
      </c>
      <c r="F172" s="73"/>
      <c r="G172"/>
      <c r="H172"/>
      <c r="I172"/>
      <c r="J172"/>
    </row>
    <row r="173" spans="1:10" ht="21.75" customHeight="1" x14ac:dyDescent="0.2">
      <c r="A173" s="70">
        <f t="shared" si="2"/>
        <v>171</v>
      </c>
      <c r="B173" s="2" t="s">
        <v>670</v>
      </c>
      <c r="C173" s="84">
        <v>42296</v>
      </c>
      <c r="D173" s="2" t="s">
        <v>67</v>
      </c>
      <c r="E173" s="74">
        <v>3</v>
      </c>
      <c r="F173" s="85">
        <v>3</v>
      </c>
      <c r="G173" s="57">
        <v>1</v>
      </c>
      <c r="H173" s="57">
        <v>3</v>
      </c>
      <c r="I173" s="57" t="s">
        <v>281</v>
      </c>
    </row>
    <row r="174" spans="1:10" ht="21.75" customHeight="1" x14ac:dyDescent="0.2">
      <c r="A174" s="70">
        <f t="shared" si="2"/>
        <v>172</v>
      </c>
      <c r="B174" s="2" t="s">
        <v>671</v>
      </c>
      <c r="C174" s="84">
        <v>42298</v>
      </c>
      <c r="D174" s="2" t="s">
        <v>67</v>
      </c>
      <c r="E174" s="74">
        <v>3</v>
      </c>
      <c r="F174" s="85">
        <v>3</v>
      </c>
      <c r="G174" s="57" t="s">
        <v>281</v>
      </c>
      <c r="H174" s="57">
        <v>3</v>
      </c>
      <c r="I174" s="57">
        <v>1</v>
      </c>
    </row>
    <row r="175" spans="1:10" ht="21.75" customHeight="1" x14ac:dyDescent="0.2">
      <c r="A175" s="70">
        <f t="shared" si="2"/>
        <v>173</v>
      </c>
      <c r="B175" s="2" t="s">
        <v>672</v>
      </c>
      <c r="C175" s="84">
        <v>42298</v>
      </c>
      <c r="D175" s="2" t="s">
        <v>67</v>
      </c>
      <c r="E175" s="74">
        <v>3</v>
      </c>
      <c r="F175" s="85">
        <v>3</v>
      </c>
      <c r="G175" s="57">
        <v>1</v>
      </c>
      <c r="H175" s="57">
        <v>3</v>
      </c>
      <c r="I175" s="57" t="s">
        <v>281</v>
      </c>
      <c r="J175" s="57">
        <v>2</v>
      </c>
    </row>
    <row r="176" spans="1:10" ht="21.75" customHeight="1" x14ac:dyDescent="0.2">
      <c r="A176" s="70">
        <f t="shared" si="2"/>
        <v>174</v>
      </c>
      <c r="B176" s="2" t="s">
        <v>673</v>
      </c>
      <c r="C176" s="84">
        <v>42298</v>
      </c>
      <c r="D176" s="2" t="s">
        <v>67</v>
      </c>
      <c r="E176" s="74">
        <v>2</v>
      </c>
      <c r="F176" s="85">
        <v>2</v>
      </c>
    </row>
    <row r="177" spans="1:10" ht="21.75" customHeight="1" x14ac:dyDescent="0.2">
      <c r="A177" s="70">
        <f t="shared" si="2"/>
        <v>175</v>
      </c>
      <c r="B177" s="76" t="s">
        <v>674</v>
      </c>
      <c r="C177" s="84">
        <v>42298</v>
      </c>
      <c r="D177" s="2" t="s">
        <v>120</v>
      </c>
      <c r="E177" s="1">
        <v>2</v>
      </c>
      <c r="F177" s="73"/>
      <c r="G177"/>
      <c r="H177"/>
      <c r="I177"/>
      <c r="J177"/>
    </row>
    <row r="178" spans="1:10" ht="21.75" customHeight="1" x14ac:dyDescent="0.2">
      <c r="A178" s="70">
        <f t="shared" si="2"/>
        <v>176</v>
      </c>
      <c r="B178" s="2" t="s">
        <v>675</v>
      </c>
      <c r="C178" s="84">
        <v>42298</v>
      </c>
      <c r="D178" s="2" t="s">
        <v>524</v>
      </c>
      <c r="E178" s="1">
        <v>2</v>
      </c>
      <c r="F178" s="73"/>
      <c r="G178"/>
      <c r="H178"/>
      <c r="I178"/>
      <c r="J178"/>
    </row>
    <row r="179" spans="1:10" ht="21.75" customHeight="1" x14ac:dyDescent="0.2">
      <c r="A179" s="70">
        <f t="shared" si="2"/>
        <v>177</v>
      </c>
      <c r="B179" s="2" t="s">
        <v>676</v>
      </c>
      <c r="C179" s="84">
        <v>42303</v>
      </c>
      <c r="D179" s="2" t="s">
        <v>67</v>
      </c>
      <c r="E179" s="74">
        <v>2</v>
      </c>
      <c r="F179" s="75">
        <v>2</v>
      </c>
      <c r="G179" s="57">
        <v>1</v>
      </c>
      <c r="H179" s="57">
        <v>2</v>
      </c>
      <c r="I179" s="57">
        <v>3</v>
      </c>
      <c r="J179" s="57" t="s">
        <v>281</v>
      </c>
    </row>
    <row r="180" spans="1:10" ht="21.75" customHeight="1" x14ac:dyDescent="0.2">
      <c r="A180" s="70">
        <f t="shared" si="2"/>
        <v>178</v>
      </c>
      <c r="B180" s="2" t="s">
        <v>677</v>
      </c>
      <c r="C180" s="84">
        <v>42303</v>
      </c>
      <c r="D180" s="2" t="s">
        <v>67</v>
      </c>
      <c r="E180" s="74">
        <v>3</v>
      </c>
      <c r="F180" s="75">
        <v>3</v>
      </c>
      <c r="G180" s="57">
        <v>1</v>
      </c>
      <c r="H180" s="57">
        <v>3</v>
      </c>
      <c r="I180" s="57" t="s">
        <v>281</v>
      </c>
      <c r="J180" s="57">
        <v>2</v>
      </c>
    </row>
    <row r="181" spans="1:10" ht="21.75" customHeight="1" x14ac:dyDescent="0.2">
      <c r="A181" s="70">
        <f t="shared" si="2"/>
        <v>179</v>
      </c>
      <c r="B181" s="2" t="s">
        <v>678</v>
      </c>
      <c r="C181" s="84">
        <v>42303</v>
      </c>
      <c r="D181" s="2" t="s">
        <v>524</v>
      </c>
      <c r="E181" s="1">
        <v>2</v>
      </c>
      <c r="F181" s="73"/>
      <c r="G181"/>
      <c r="H181"/>
      <c r="I181"/>
      <c r="J181"/>
    </row>
    <row r="182" spans="1:10" ht="21.75" customHeight="1" x14ac:dyDescent="0.2">
      <c r="A182" s="70">
        <f t="shared" si="2"/>
        <v>180</v>
      </c>
      <c r="B182" s="2" t="s">
        <v>679</v>
      </c>
      <c r="C182" s="84">
        <v>42303</v>
      </c>
      <c r="D182" s="2" t="s">
        <v>680</v>
      </c>
      <c r="E182" s="1">
        <v>2</v>
      </c>
      <c r="F182" s="73"/>
      <c r="G182"/>
      <c r="H182"/>
      <c r="I182"/>
      <c r="J182"/>
    </row>
    <row r="183" spans="1:10" ht="21.75" customHeight="1" x14ac:dyDescent="0.2">
      <c r="A183" s="70">
        <f t="shared" si="2"/>
        <v>181</v>
      </c>
      <c r="B183" s="2" t="s">
        <v>681</v>
      </c>
      <c r="C183" s="84">
        <v>42303</v>
      </c>
      <c r="D183" s="2" t="s">
        <v>524</v>
      </c>
      <c r="E183" s="1">
        <v>2</v>
      </c>
      <c r="F183" s="73"/>
      <c r="G183"/>
      <c r="H183"/>
      <c r="I183"/>
      <c r="J183"/>
    </row>
    <row r="184" spans="1:10" ht="21.75" customHeight="1" x14ac:dyDescent="0.2">
      <c r="A184" s="70">
        <f t="shared" si="2"/>
        <v>182</v>
      </c>
      <c r="B184" s="76" t="s">
        <v>682</v>
      </c>
      <c r="C184" s="84">
        <v>42303</v>
      </c>
      <c r="D184" s="2" t="s">
        <v>120</v>
      </c>
      <c r="E184" s="1">
        <v>2</v>
      </c>
      <c r="F184" s="73"/>
      <c r="G184"/>
      <c r="H184"/>
      <c r="I184"/>
      <c r="J184"/>
    </row>
    <row r="185" spans="1:10" ht="21.75" customHeight="1" x14ac:dyDescent="0.2">
      <c r="A185" s="70">
        <f t="shared" si="2"/>
        <v>183</v>
      </c>
      <c r="B185" s="2" t="s">
        <v>683</v>
      </c>
      <c r="C185" s="84">
        <v>42303</v>
      </c>
      <c r="D185" s="2" t="s">
        <v>67</v>
      </c>
      <c r="E185" s="74">
        <v>3</v>
      </c>
      <c r="F185" s="75">
        <v>3</v>
      </c>
      <c r="G185" s="57">
        <v>1</v>
      </c>
      <c r="H185" s="57" t="s">
        <v>281</v>
      </c>
      <c r="I185" s="57">
        <v>3</v>
      </c>
    </row>
    <row r="186" spans="1:10" ht="21.75" customHeight="1" x14ac:dyDescent="0.2">
      <c r="A186" s="70">
        <f t="shared" si="2"/>
        <v>184</v>
      </c>
      <c r="B186" s="2" t="s">
        <v>684</v>
      </c>
      <c r="C186" s="84">
        <v>42303</v>
      </c>
      <c r="D186" s="2" t="s">
        <v>67</v>
      </c>
      <c r="E186" s="74">
        <v>2</v>
      </c>
      <c r="F186" s="75">
        <v>2</v>
      </c>
      <c r="G186" s="57">
        <v>1</v>
      </c>
      <c r="H186" s="57">
        <v>2</v>
      </c>
      <c r="I186" s="57">
        <v>3</v>
      </c>
    </row>
    <row r="187" spans="1:10" ht="21.75" customHeight="1" x14ac:dyDescent="0.2">
      <c r="A187" s="70">
        <f t="shared" si="2"/>
        <v>185</v>
      </c>
      <c r="B187" s="2" t="s">
        <v>685</v>
      </c>
      <c r="C187" s="84">
        <v>42303</v>
      </c>
      <c r="D187" s="2" t="s">
        <v>120</v>
      </c>
      <c r="E187" s="1">
        <v>2</v>
      </c>
      <c r="F187" s="73"/>
      <c r="G187"/>
      <c r="H187"/>
      <c r="I187"/>
      <c r="J187"/>
    </row>
    <row r="188" spans="1:10" ht="21.75" customHeight="1" x14ac:dyDescent="0.2">
      <c r="A188" s="70">
        <f t="shared" si="2"/>
        <v>186</v>
      </c>
      <c r="B188" s="2" t="s">
        <v>686</v>
      </c>
      <c r="C188" s="84">
        <v>42305</v>
      </c>
      <c r="D188" s="2" t="s">
        <v>67</v>
      </c>
      <c r="E188" s="74">
        <v>2</v>
      </c>
      <c r="F188" s="75">
        <v>3</v>
      </c>
      <c r="G188" s="57">
        <v>1</v>
      </c>
      <c r="H188" s="57">
        <v>3</v>
      </c>
      <c r="I188" s="57">
        <v>2</v>
      </c>
    </row>
    <row r="189" spans="1:10" ht="21.75" customHeight="1" x14ac:dyDescent="0.2">
      <c r="A189" s="70">
        <f t="shared" si="2"/>
        <v>187</v>
      </c>
      <c r="B189" s="2" t="s">
        <v>687</v>
      </c>
      <c r="C189" s="84">
        <v>42305</v>
      </c>
      <c r="D189" s="2" t="s">
        <v>67</v>
      </c>
      <c r="E189" s="74">
        <v>2</v>
      </c>
      <c r="F189" s="75">
        <v>2</v>
      </c>
    </row>
    <row r="190" spans="1:10" ht="21.75" customHeight="1" x14ac:dyDescent="0.2">
      <c r="A190" s="70">
        <f t="shared" si="2"/>
        <v>188</v>
      </c>
      <c r="B190" s="2" t="s">
        <v>688</v>
      </c>
      <c r="C190" s="84">
        <v>42305</v>
      </c>
      <c r="D190" s="2" t="s">
        <v>120</v>
      </c>
      <c r="E190" s="1">
        <v>2</v>
      </c>
      <c r="F190" s="73"/>
      <c r="G190"/>
      <c r="H190"/>
      <c r="I190"/>
      <c r="J190"/>
    </row>
    <row r="191" spans="1:10" ht="21.75" customHeight="1" x14ac:dyDescent="0.2">
      <c r="A191" s="70">
        <f t="shared" si="2"/>
        <v>189</v>
      </c>
      <c r="B191" s="2" t="s">
        <v>689</v>
      </c>
      <c r="C191" s="84">
        <v>42305</v>
      </c>
      <c r="D191" s="2" t="s">
        <v>67</v>
      </c>
      <c r="E191" s="74">
        <v>2</v>
      </c>
      <c r="F191" s="75">
        <v>2</v>
      </c>
    </row>
    <row r="192" spans="1:10" ht="21.75" customHeight="1" x14ac:dyDescent="0.2">
      <c r="A192" s="70">
        <f t="shared" si="2"/>
        <v>190</v>
      </c>
      <c r="B192" s="2" t="s">
        <v>690</v>
      </c>
      <c r="C192" s="84">
        <v>42305</v>
      </c>
      <c r="D192" s="2" t="s">
        <v>669</v>
      </c>
      <c r="E192" s="1">
        <v>2</v>
      </c>
      <c r="F192" s="73"/>
      <c r="G192"/>
      <c r="H192"/>
      <c r="I192"/>
      <c r="J192"/>
    </row>
    <row r="193" spans="1:10" ht="21.75" customHeight="1" x14ac:dyDescent="0.2">
      <c r="A193" s="70">
        <f t="shared" si="2"/>
        <v>191</v>
      </c>
      <c r="B193" s="2" t="s">
        <v>691</v>
      </c>
      <c r="C193" s="84">
        <v>42305</v>
      </c>
      <c r="D193" s="2" t="s">
        <v>67</v>
      </c>
      <c r="E193" s="74">
        <v>2</v>
      </c>
      <c r="F193" s="75">
        <v>2</v>
      </c>
    </row>
    <row r="194" spans="1:10" ht="21.75" customHeight="1" x14ac:dyDescent="0.2">
      <c r="A194" s="70">
        <f t="shared" si="2"/>
        <v>192</v>
      </c>
      <c r="B194" s="2" t="s">
        <v>692</v>
      </c>
      <c r="C194" s="84">
        <v>42305</v>
      </c>
      <c r="D194" s="2" t="s">
        <v>67</v>
      </c>
      <c r="E194" s="74">
        <v>2</v>
      </c>
      <c r="F194" s="75">
        <v>2</v>
      </c>
    </row>
    <row r="195" spans="1:10" ht="21.75" customHeight="1" x14ac:dyDescent="0.2">
      <c r="A195" s="70">
        <f t="shared" si="2"/>
        <v>193</v>
      </c>
      <c r="B195" s="2" t="s">
        <v>693</v>
      </c>
      <c r="C195" s="84">
        <v>42305</v>
      </c>
      <c r="D195" s="2" t="s">
        <v>67</v>
      </c>
      <c r="E195" s="74">
        <v>2</v>
      </c>
      <c r="F195" s="75">
        <v>2</v>
      </c>
      <c r="G195" s="57">
        <v>1</v>
      </c>
      <c r="H195" s="57">
        <v>2</v>
      </c>
      <c r="I195" s="57">
        <v>3</v>
      </c>
      <c r="J195" s="57" t="s">
        <v>281</v>
      </c>
    </row>
    <row r="196" spans="1:10" ht="21.75" customHeight="1" x14ac:dyDescent="0.2">
      <c r="A196" s="70">
        <f t="shared" ref="A196:A257" si="3">A195+1</f>
        <v>194</v>
      </c>
      <c r="B196" s="2" t="s">
        <v>694</v>
      </c>
      <c r="C196" s="84">
        <v>42305</v>
      </c>
      <c r="D196" s="2" t="s">
        <v>67</v>
      </c>
      <c r="E196" s="74">
        <v>2</v>
      </c>
      <c r="F196" s="75">
        <v>2</v>
      </c>
    </row>
    <row r="197" spans="1:10" ht="21.75" customHeight="1" x14ac:dyDescent="0.2">
      <c r="A197" s="70">
        <f t="shared" si="3"/>
        <v>195</v>
      </c>
      <c r="B197" s="2" t="s">
        <v>695</v>
      </c>
      <c r="C197" s="84">
        <v>42305</v>
      </c>
      <c r="D197" s="2" t="s">
        <v>67</v>
      </c>
      <c r="E197" s="74">
        <v>2</v>
      </c>
      <c r="F197" s="75">
        <v>2</v>
      </c>
    </row>
    <row r="198" spans="1:10" ht="21.75" customHeight="1" x14ac:dyDescent="0.2">
      <c r="A198" s="70">
        <f t="shared" si="3"/>
        <v>196</v>
      </c>
      <c r="B198" s="2" t="s">
        <v>696</v>
      </c>
      <c r="C198" s="84">
        <v>42310</v>
      </c>
      <c r="D198" s="2" t="s">
        <v>67</v>
      </c>
      <c r="E198" s="74">
        <v>2</v>
      </c>
      <c r="F198" s="75">
        <v>2</v>
      </c>
    </row>
    <row r="199" spans="1:10" ht="21.75" customHeight="1" x14ac:dyDescent="0.2">
      <c r="A199" s="70">
        <f t="shared" si="3"/>
        <v>197</v>
      </c>
      <c r="B199" s="2" t="s">
        <v>697</v>
      </c>
      <c r="C199" s="84">
        <v>42310</v>
      </c>
      <c r="D199" s="2" t="s">
        <v>67</v>
      </c>
      <c r="E199" s="74">
        <v>2</v>
      </c>
      <c r="F199" s="75">
        <v>2</v>
      </c>
      <c r="G199" s="57">
        <v>1</v>
      </c>
      <c r="H199" s="57" t="s">
        <v>281</v>
      </c>
      <c r="I199" s="57">
        <v>2</v>
      </c>
      <c r="J199" s="57">
        <v>3</v>
      </c>
    </row>
    <row r="200" spans="1:10" ht="21.75" customHeight="1" x14ac:dyDescent="0.2">
      <c r="A200" s="70">
        <f t="shared" si="3"/>
        <v>198</v>
      </c>
      <c r="B200" s="2" t="s">
        <v>698</v>
      </c>
      <c r="C200" s="84">
        <v>42310</v>
      </c>
      <c r="D200" s="2" t="s">
        <v>67</v>
      </c>
      <c r="E200" s="74">
        <v>2</v>
      </c>
      <c r="F200" s="75">
        <v>2</v>
      </c>
    </row>
    <row r="201" spans="1:10" ht="21.75" customHeight="1" x14ac:dyDescent="0.2">
      <c r="A201" s="70">
        <f t="shared" si="3"/>
        <v>199</v>
      </c>
      <c r="B201" s="2" t="s">
        <v>699</v>
      </c>
      <c r="C201" s="84">
        <v>42310</v>
      </c>
      <c r="D201" s="2" t="s">
        <v>67</v>
      </c>
      <c r="E201" s="74">
        <v>2</v>
      </c>
      <c r="F201" s="75">
        <v>2</v>
      </c>
      <c r="G201" s="57">
        <v>2</v>
      </c>
      <c r="H201" s="57">
        <v>3</v>
      </c>
      <c r="I201" s="57">
        <v>1</v>
      </c>
      <c r="J201" s="57" t="s">
        <v>281</v>
      </c>
    </row>
    <row r="202" spans="1:10" ht="21.75" customHeight="1" x14ac:dyDescent="0.2">
      <c r="A202" s="70">
        <f t="shared" si="3"/>
        <v>200</v>
      </c>
      <c r="B202" s="2" t="s">
        <v>700</v>
      </c>
      <c r="C202" s="84">
        <v>42317</v>
      </c>
      <c r="D202" s="2" t="s">
        <v>669</v>
      </c>
      <c r="E202" s="1">
        <v>2</v>
      </c>
      <c r="F202" s="73"/>
      <c r="G202"/>
      <c r="H202"/>
      <c r="I202"/>
      <c r="J202"/>
    </row>
    <row r="203" spans="1:10" ht="21.75" customHeight="1" x14ac:dyDescent="0.2">
      <c r="A203" s="70">
        <f t="shared" si="3"/>
        <v>201</v>
      </c>
      <c r="B203" s="2" t="s">
        <v>701</v>
      </c>
      <c r="C203" s="84">
        <v>42317</v>
      </c>
      <c r="D203" s="2" t="s">
        <v>67</v>
      </c>
      <c r="E203" s="74">
        <v>3</v>
      </c>
      <c r="F203" s="75">
        <v>3</v>
      </c>
      <c r="G203" s="57">
        <v>3</v>
      </c>
    </row>
    <row r="204" spans="1:10" ht="21.75" customHeight="1" x14ac:dyDescent="0.2">
      <c r="A204" s="70">
        <f t="shared" si="3"/>
        <v>202</v>
      </c>
      <c r="B204" s="2" t="s">
        <v>702</v>
      </c>
      <c r="C204" s="84">
        <v>42317</v>
      </c>
      <c r="D204" s="2" t="s">
        <v>67</v>
      </c>
      <c r="E204" s="74">
        <v>2</v>
      </c>
      <c r="F204" s="75">
        <v>2</v>
      </c>
    </row>
    <row r="205" spans="1:10" ht="21.75" customHeight="1" x14ac:dyDescent="0.2">
      <c r="A205" s="70">
        <f t="shared" si="3"/>
        <v>203</v>
      </c>
      <c r="B205" s="2" t="s">
        <v>703</v>
      </c>
      <c r="C205" s="84">
        <v>42317</v>
      </c>
      <c r="D205" s="2" t="s">
        <v>67</v>
      </c>
      <c r="E205" s="74">
        <v>2</v>
      </c>
      <c r="F205" s="75">
        <v>2</v>
      </c>
    </row>
    <row r="206" spans="1:10" ht="21.75" customHeight="1" x14ac:dyDescent="0.2">
      <c r="A206" s="70">
        <f t="shared" si="3"/>
        <v>204</v>
      </c>
      <c r="B206" s="2" t="s">
        <v>704</v>
      </c>
      <c r="C206" s="84">
        <v>42317</v>
      </c>
      <c r="D206" s="2" t="s">
        <v>67</v>
      </c>
      <c r="E206" s="74">
        <v>2</v>
      </c>
      <c r="F206" s="75">
        <v>2</v>
      </c>
    </row>
    <row r="207" spans="1:10" ht="21.75" customHeight="1" x14ac:dyDescent="0.2">
      <c r="A207" s="70">
        <f t="shared" si="3"/>
        <v>205</v>
      </c>
      <c r="B207" s="2" t="s">
        <v>705</v>
      </c>
      <c r="C207" s="84">
        <v>42317</v>
      </c>
      <c r="D207" s="2" t="s">
        <v>67</v>
      </c>
      <c r="E207" s="74">
        <v>2</v>
      </c>
      <c r="F207" s="75">
        <v>2</v>
      </c>
    </row>
    <row r="208" spans="1:10" ht="21.75" customHeight="1" x14ac:dyDescent="0.2">
      <c r="A208" s="70">
        <f t="shared" si="3"/>
        <v>206</v>
      </c>
      <c r="B208" s="2" t="s">
        <v>706</v>
      </c>
      <c r="C208" s="84">
        <v>42319</v>
      </c>
      <c r="D208" s="2" t="s">
        <v>67</v>
      </c>
      <c r="E208" s="74">
        <v>3</v>
      </c>
      <c r="F208" s="75">
        <v>3</v>
      </c>
      <c r="G208" s="57" t="s">
        <v>281</v>
      </c>
      <c r="H208" s="57">
        <v>1</v>
      </c>
      <c r="I208" s="57">
        <v>3</v>
      </c>
    </row>
    <row r="209" spans="1:11" ht="21.75" customHeight="1" x14ac:dyDescent="0.2">
      <c r="A209" s="70">
        <f t="shared" si="3"/>
        <v>207</v>
      </c>
      <c r="B209" s="2" t="s">
        <v>707</v>
      </c>
      <c r="C209" s="84">
        <v>42319</v>
      </c>
      <c r="D209" s="2" t="s">
        <v>67</v>
      </c>
      <c r="E209" s="74">
        <v>2</v>
      </c>
      <c r="F209" s="75">
        <v>2</v>
      </c>
      <c r="G209" s="57">
        <v>1</v>
      </c>
      <c r="H209" s="57">
        <v>2</v>
      </c>
      <c r="I209" s="57" t="s">
        <v>281</v>
      </c>
      <c r="J209" s="57">
        <v>3</v>
      </c>
    </row>
    <row r="210" spans="1:11" ht="21.75" customHeight="1" x14ac:dyDescent="0.2">
      <c r="A210" s="70">
        <f t="shared" si="3"/>
        <v>208</v>
      </c>
      <c r="B210" s="2" t="s">
        <v>708</v>
      </c>
      <c r="C210" s="84">
        <v>42319</v>
      </c>
      <c r="D210" s="2" t="s">
        <v>67</v>
      </c>
      <c r="E210" s="74">
        <v>2</v>
      </c>
      <c r="F210" s="75">
        <v>2</v>
      </c>
      <c r="G210" s="57">
        <v>2</v>
      </c>
      <c r="H210" s="57">
        <v>3</v>
      </c>
      <c r="I210" s="57" t="s">
        <v>281</v>
      </c>
      <c r="J210" s="57">
        <v>1</v>
      </c>
    </row>
    <row r="211" spans="1:11" ht="21.75" customHeight="1" x14ac:dyDescent="0.2">
      <c r="A211" s="70">
        <f t="shared" si="3"/>
        <v>209</v>
      </c>
      <c r="B211" s="2" t="s">
        <v>709</v>
      </c>
      <c r="C211" s="84">
        <v>42319</v>
      </c>
      <c r="D211" s="2" t="s">
        <v>67</v>
      </c>
      <c r="E211" s="74">
        <v>2</v>
      </c>
      <c r="F211" s="75">
        <v>2</v>
      </c>
    </row>
    <row r="212" spans="1:11" ht="21.75" customHeight="1" x14ac:dyDescent="0.2">
      <c r="A212" s="70">
        <f t="shared" si="3"/>
        <v>210</v>
      </c>
      <c r="B212" s="2" t="s">
        <v>710</v>
      </c>
      <c r="C212" s="84">
        <v>42319</v>
      </c>
      <c r="D212" s="2" t="s">
        <v>120</v>
      </c>
      <c r="E212" s="1">
        <v>2</v>
      </c>
      <c r="F212" s="73"/>
      <c r="G212"/>
      <c r="H212"/>
      <c r="I212"/>
      <c r="J212"/>
    </row>
    <row r="213" spans="1:11" ht="21.75" customHeight="1" x14ac:dyDescent="0.2">
      <c r="A213" s="70">
        <f t="shared" si="3"/>
        <v>211</v>
      </c>
      <c r="B213" s="2" t="s">
        <v>711</v>
      </c>
      <c r="C213" s="84">
        <v>42319</v>
      </c>
      <c r="D213" s="2" t="s">
        <v>67</v>
      </c>
      <c r="E213" s="74">
        <v>3</v>
      </c>
      <c r="F213" s="75">
        <v>3</v>
      </c>
      <c r="G213" s="57">
        <v>1</v>
      </c>
      <c r="H213" s="57">
        <v>3</v>
      </c>
      <c r="I213" s="57" t="s">
        <v>281</v>
      </c>
      <c r="J213" s="57">
        <v>2</v>
      </c>
    </row>
    <row r="214" spans="1:11" ht="21.75" customHeight="1" x14ac:dyDescent="0.2">
      <c r="A214" s="70">
        <f t="shared" si="3"/>
        <v>212</v>
      </c>
      <c r="B214" s="2" t="s">
        <v>712</v>
      </c>
      <c r="C214" s="84">
        <v>42319</v>
      </c>
      <c r="D214" s="2" t="s">
        <v>67</v>
      </c>
      <c r="E214" s="74">
        <v>2</v>
      </c>
      <c r="F214" s="75">
        <v>2</v>
      </c>
      <c r="G214" s="57">
        <v>1</v>
      </c>
      <c r="H214" s="57">
        <v>2</v>
      </c>
      <c r="I214" s="57">
        <v>3</v>
      </c>
      <c r="J214" s="57" t="s">
        <v>281</v>
      </c>
    </row>
    <row r="215" spans="1:11" ht="21.75" customHeight="1" x14ac:dyDescent="0.2">
      <c r="A215" s="79">
        <f t="shared" si="3"/>
        <v>213</v>
      </c>
      <c r="B215" s="80" t="s">
        <v>713</v>
      </c>
      <c r="C215" s="81">
        <v>42319</v>
      </c>
      <c r="D215" s="80" t="s">
        <v>67</v>
      </c>
      <c r="E215" s="74">
        <v>3</v>
      </c>
      <c r="F215" s="83">
        <v>3</v>
      </c>
      <c r="G215" s="86" t="s">
        <v>281</v>
      </c>
      <c r="H215" s="86" t="s">
        <v>281</v>
      </c>
      <c r="I215" s="86">
        <v>1</v>
      </c>
      <c r="J215" s="86">
        <v>3</v>
      </c>
      <c r="K215" s="87" t="s">
        <v>714</v>
      </c>
    </row>
    <row r="216" spans="1:11" ht="21.75" customHeight="1" x14ac:dyDescent="0.2">
      <c r="A216" s="70">
        <f t="shared" si="3"/>
        <v>214</v>
      </c>
      <c r="B216" s="2" t="s">
        <v>715</v>
      </c>
      <c r="C216" s="84">
        <v>42331</v>
      </c>
      <c r="D216" s="2" t="s">
        <v>67</v>
      </c>
      <c r="E216" s="74">
        <v>3</v>
      </c>
      <c r="F216" s="75">
        <v>3</v>
      </c>
      <c r="G216" s="57">
        <v>3</v>
      </c>
      <c r="H216" s="57">
        <v>1</v>
      </c>
      <c r="I216" s="57" t="s">
        <v>281</v>
      </c>
      <c r="J216" s="57">
        <v>2</v>
      </c>
    </row>
    <row r="217" spans="1:11" ht="21.75" customHeight="1" x14ac:dyDescent="0.2">
      <c r="A217" s="70">
        <f t="shared" si="3"/>
        <v>215</v>
      </c>
      <c r="B217" s="2" t="s">
        <v>716</v>
      </c>
      <c r="C217" s="84">
        <v>42331</v>
      </c>
      <c r="D217" s="2" t="s">
        <v>67</v>
      </c>
      <c r="E217" s="74">
        <v>3</v>
      </c>
      <c r="F217" s="75">
        <v>3</v>
      </c>
      <c r="G217" s="57">
        <v>1</v>
      </c>
      <c r="H217" s="57">
        <v>2</v>
      </c>
      <c r="I217" s="57" t="s">
        <v>281</v>
      </c>
      <c r="J217" s="57">
        <v>3</v>
      </c>
    </row>
    <row r="218" spans="1:11" ht="21.75" customHeight="1" x14ac:dyDescent="0.2">
      <c r="A218" s="70">
        <f t="shared" si="3"/>
        <v>216</v>
      </c>
      <c r="B218" s="2" t="s">
        <v>717</v>
      </c>
      <c r="C218" s="84">
        <v>42331</v>
      </c>
      <c r="D218" s="2" t="s">
        <v>67</v>
      </c>
      <c r="E218" s="74">
        <v>3</v>
      </c>
      <c r="F218" s="75">
        <v>3</v>
      </c>
      <c r="G218" s="57">
        <v>1</v>
      </c>
      <c r="H218" s="57">
        <v>3</v>
      </c>
      <c r="I218" s="57" t="s">
        <v>281</v>
      </c>
      <c r="J218" s="57">
        <v>2</v>
      </c>
    </row>
    <row r="219" spans="1:11" s="28" customFormat="1" ht="21.75" customHeight="1" x14ac:dyDescent="0.2">
      <c r="A219" s="88">
        <f t="shared" si="3"/>
        <v>217</v>
      </c>
      <c r="B219" s="89" t="s">
        <v>718</v>
      </c>
      <c r="C219" s="90">
        <v>42338</v>
      </c>
      <c r="D219" s="89" t="s">
        <v>67</v>
      </c>
      <c r="E219" s="1">
        <v>3</v>
      </c>
      <c r="F219" s="91"/>
      <c r="G219" s="92"/>
      <c r="H219" s="92"/>
      <c r="I219" s="92"/>
      <c r="J219" s="92"/>
    </row>
    <row r="220" spans="1:11" ht="21.75" customHeight="1" x14ac:dyDescent="0.2">
      <c r="A220" s="70">
        <f t="shared" si="3"/>
        <v>218</v>
      </c>
      <c r="B220" s="2" t="s">
        <v>719</v>
      </c>
      <c r="C220" s="84">
        <v>42338</v>
      </c>
      <c r="D220" s="2" t="s">
        <v>67</v>
      </c>
      <c r="E220" s="74">
        <v>3</v>
      </c>
      <c r="F220" s="75">
        <v>3</v>
      </c>
    </row>
    <row r="221" spans="1:11" ht="21.75" customHeight="1" x14ac:dyDescent="0.2">
      <c r="A221" s="70">
        <f t="shared" si="3"/>
        <v>219</v>
      </c>
      <c r="B221" s="2" t="s">
        <v>720</v>
      </c>
      <c r="C221" s="84">
        <v>42338</v>
      </c>
      <c r="D221" s="2" t="s">
        <v>67</v>
      </c>
      <c r="E221" s="74">
        <v>3</v>
      </c>
      <c r="F221" s="75">
        <v>2</v>
      </c>
    </row>
    <row r="222" spans="1:11" ht="21.75" customHeight="1" x14ac:dyDescent="0.2">
      <c r="A222" s="70">
        <f t="shared" si="3"/>
        <v>220</v>
      </c>
      <c r="B222" s="2" t="s">
        <v>721</v>
      </c>
      <c r="C222" s="84">
        <v>42338</v>
      </c>
      <c r="D222" s="2" t="s">
        <v>669</v>
      </c>
      <c r="E222" s="1">
        <v>2</v>
      </c>
      <c r="F222" s="73"/>
      <c r="G222"/>
      <c r="H222"/>
      <c r="I222"/>
      <c r="J222"/>
    </row>
    <row r="223" spans="1:11" ht="21.75" customHeight="1" x14ac:dyDescent="0.2">
      <c r="A223" s="70">
        <f t="shared" si="3"/>
        <v>221</v>
      </c>
      <c r="B223" s="2" t="s">
        <v>722</v>
      </c>
      <c r="C223" s="84">
        <v>42338</v>
      </c>
      <c r="D223" s="2" t="s">
        <v>67</v>
      </c>
      <c r="E223" s="74">
        <v>2</v>
      </c>
      <c r="F223" s="75">
        <v>2</v>
      </c>
    </row>
    <row r="224" spans="1:11" ht="21.75" customHeight="1" x14ac:dyDescent="0.2">
      <c r="A224" s="70">
        <f t="shared" si="3"/>
        <v>222</v>
      </c>
      <c r="B224" s="2" t="s">
        <v>723</v>
      </c>
      <c r="C224" s="84">
        <v>42338</v>
      </c>
      <c r="D224" s="2" t="s">
        <v>67</v>
      </c>
      <c r="E224" s="74">
        <v>3</v>
      </c>
      <c r="F224" s="75">
        <v>2</v>
      </c>
    </row>
    <row r="225" spans="1:10" ht="21.75" customHeight="1" x14ac:dyDescent="0.2">
      <c r="A225" s="70">
        <f t="shared" si="3"/>
        <v>223</v>
      </c>
      <c r="B225" s="76" t="s">
        <v>724</v>
      </c>
      <c r="C225" s="84">
        <v>42338</v>
      </c>
      <c r="D225" s="2" t="s">
        <v>120</v>
      </c>
      <c r="E225" s="1">
        <v>2</v>
      </c>
      <c r="F225" s="73"/>
      <c r="G225"/>
      <c r="H225"/>
      <c r="I225"/>
      <c r="J225"/>
    </row>
    <row r="226" spans="1:10" ht="21.75" customHeight="1" x14ac:dyDescent="0.2">
      <c r="A226" s="70">
        <f t="shared" si="3"/>
        <v>224</v>
      </c>
      <c r="B226" s="2" t="s">
        <v>725</v>
      </c>
      <c r="C226" s="84">
        <v>42338</v>
      </c>
      <c r="D226" s="2" t="s">
        <v>726</v>
      </c>
      <c r="E226" s="1">
        <v>2</v>
      </c>
      <c r="F226" s="93"/>
    </row>
    <row r="227" spans="1:10" ht="21.75" customHeight="1" x14ac:dyDescent="0.2">
      <c r="A227" s="70">
        <f t="shared" si="3"/>
        <v>225</v>
      </c>
      <c r="B227" s="2" t="s">
        <v>727</v>
      </c>
      <c r="C227" s="84">
        <v>42338</v>
      </c>
      <c r="D227" s="2" t="s">
        <v>67</v>
      </c>
      <c r="E227" s="74">
        <v>2</v>
      </c>
      <c r="F227" s="75">
        <v>2</v>
      </c>
      <c r="G227" s="57">
        <v>1</v>
      </c>
      <c r="H227" s="57">
        <v>2</v>
      </c>
      <c r="I227" s="57">
        <v>3</v>
      </c>
      <c r="J227" s="57">
        <v>2</v>
      </c>
    </row>
    <row r="228" spans="1:10" ht="21.75" customHeight="1" x14ac:dyDescent="0.2">
      <c r="A228" s="70">
        <f t="shared" si="3"/>
        <v>226</v>
      </c>
      <c r="B228" s="2" t="s">
        <v>728</v>
      </c>
      <c r="C228" s="84">
        <v>42338</v>
      </c>
      <c r="D228" s="2" t="s">
        <v>120</v>
      </c>
      <c r="E228" s="1">
        <v>3</v>
      </c>
      <c r="F228" s="93"/>
    </row>
    <row r="229" spans="1:10" ht="21.75" customHeight="1" x14ac:dyDescent="0.2">
      <c r="A229" s="70">
        <f t="shared" si="3"/>
        <v>227</v>
      </c>
      <c r="B229" s="2" t="s">
        <v>729</v>
      </c>
      <c r="C229" s="84">
        <v>42338</v>
      </c>
      <c r="D229" s="2" t="s">
        <v>67</v>
      </c>
      <c r="E229" s="74">
        <v>3</v>
      </c>
      <c r="F229" s="75">
        <v>3</v>
      </c>
      <c r="G229" s="57" t="s">
        <v>281</v>
      </c>
      <c r="H229" s="57">
        <v>3</v>
      </c>
      <c r="I229" s="57">
        <v>1</v>
      </c>
      <c r="J229" s="57">
        <v>2</v>
      </c>
    </row>
    <row r="230" spans="1:10" ht="21.75" customHeight="1" x14ac:dyDescent="0.2">
      <c r="A230" s="70">
        <f t="shared" si="3"/>
        <v>228</v>
      </c>
      <c r="B230" s="2" t="s">
        <v>730</v>
      </c>
      <c r="C230" s="84">
        <v>42352</v>
      </c>
      <c r="D230" s="2" t="s">
        <v>67</v>
      </c>
      <c r="E230" s="74">
        <v>2</v>
      </c>
      <c r="F230" s="75">
        <v>2</v>
      </c>
    </row>
    <row r="231" spans="1:10" ht="21.75" customHeight="1" x14ac:dyDescent="0.2">
      <c r="A231" s="70">
        <f t="shared" si="3"/>
        <v>229</v>
      </c>
      <c r="B231" s="2" t="s">
        <v>731</v>
      </c>
      <c r="C231" s="84">
        <v>42352</v>
      </c>
      <c r="D231" s="2" t="s">
        <v>67</v>
      </c>
      <c r="E231" s="74">
        <v>2</v>
      </c>
      <c r="F231" s="75">
        <v>2</v>
      </c>
    </row>
    <row r="232" spans="1:10" ht="21.75" customHeight="1" x14ac:dyDescent="0.2">
      <c r="A232" s="70">
        <f t="shared" si="3"/>
        <v>230</v>
      </c>
      <c r="B232" s="2" t="s">
        <v>732</v>
      </c>
      <c r="C232" s="84">
        <v>42352</v>
      </c>
      <c r="D232" s="2" t="s">
        <v>67</v>
      </c>
      <c r="E232" s="74">
        <v>2</v>
      </c>
      <c r="F232" s="75">
        <v>2</v>
      </c>
    </row>
    <row r="233" spans="1:10" ht="21.75" customHeight="1" x14ac:dyDescent="0.2">
      <c r="A233" s="70">
        <f t="shared" si="3"/>
        <v>231</v>
      </c>
      <c r="B233" s="2" t="s">
        <v>733</v>
      </c>
      <c r="C233" s="84">
        <v>42352</v>
      </c>
      <c r="D233" s="2" t="s">
        <v>67</v>
      </c>
      <c r="E233" s="74">
        <v>2</v>
      </c>
      <c r="F233" s="75">
        <v>2</v>
      </c>
    </row>
    <row r="234" spans="1:10" ht="21.75" customHeight="1" x14ac:dyDescent="0.2">
      <c r="A234" s="70">
        <f t="shared" si="3"/>
        <v>232</v>
      </c>
      <c r="B234" s="2" t="s">
        <v>734</v>
      </c>
      <c r="C234" s="84">
        <v>42352</v>
      </c>
      <c r="D234" s="2" t="s">
        <v>67</v>
      </c>
      <c r="E234" s="74">
        <v>2</v>
      </c>
      <c r="F234" s="75">
        <v>2</v>
      </c>
    </row>
    <row r="235" spans="1:10" ht="21.75" customHeight="1" x14ac:dyDescent="0.2">
      <c r="A235" s="70">
        <f t="shared" si="3"/>
        <v>233</v>
      </c>
      <c r="B235" s="2" t="s">
        <v>735</v>
      </c>
      <c r="C235" s="84">
        <v>42352</v>
      </c>
      <c r="D235" s="2" t="s">
        <v>67</v>
      </c>
      <c r="E235" s="74">
        <v>2</v>
      </c>
      <c r="F235" s="75">
        <v>2</v>
      </c>
    </row>
    <row r="236" spans="1:10" ht="21.75" customHeight="1" x14ac:dyDescent="0.2">
      <c r="A236" s="70">
        <f t="shared" si="3"/>
        <v>234</v>
      </c>
      <c r="B236" s="2" t="s">
        <v>736</v>
      </c>
      <c r="C236" s="84">
        <v>42354</v>
      </c>
      <c r="D236" s="2" t="s">
        <v>669</v>
      </c>
      <c r="E236" s="1">
        <v>3</v>
      </c>
      <c r="F236" s="73"/>
      <c r="G236"/>
      <c r="H236"/>
      <c r="I236"/>
      <c r="J236"/>
    </row>
    <row r="237" spans="1:10" ht="21.75" customHeight="1" x14ac:dyDescent="0.2">
      <c r="A237" s="70">
        <f t="shared" si="3"/>
        <v>235</v>
      </c>
      <c r="B237" s="2" t="s">
        <v>737</v>
      </c>
      <c r="C237" s="84">
        <v>42354</v>
      </c>
      <c r="D237" s="2" t="s">
        <v>67</v>
      </c>
      <c r="E237" s="74">
        <v>3</v>
      </c>
      <c r="F237" s="75">
        <v>3</v>
      </c>
      <c r="G237" s="57">
        <v>1</v>
      </c>
      <c r="H237" s="57">
        <v>2</v>
      </c>
      <c r="I237" s="57" t="s">
        <v>281</v>
      </c>
      <c r="J237" s="57">
        <v>3</v>
      </c>
    </row>
    <row r="238" spans="1:10" ht="21.75" customHeight="1" x14ac:dyDescent="0.2">
      <c r="A238" s="70">
        <f t="shared" si="3"/>
        <v>236</v>
      </c>
      <c r="B238" s="2" t="s">
        <v>738</v>
      </c>
      <c r="C238" s="84">
        <v>42354</v>
      </c>
      <c r="D238" s="2" t="s">
        <v>120</v>
      </c>
      <c r="E238" s="1">
        <v>2</v>
      </c>
      <c r="F238" s="73"/>
      <c r="G238"/>
      <c r="H238"/>
      <c r="I238"/>
      <c r="J238"/>
    </row>
    <row r="239" spans="1:10" ht="21.75" customHeight="1" x14ac:dyDescent="0.2">
      <c r="A239" s="70">
        <f t="shared" si="3"/>
        <v>237</v>
      </c>
      <c r="B239" s="2" t="s">
        <v>739</v>
      </c>
      <c r="C239" s="84">
        <v>42354</v>
      </c>
      <c r="D239" s="2" t="s">
        <v>67</v>
      </c>
      <c r="E239" s="74">
        <v>3</v>
      </c>
      <c r="F239" s="75">
        <v>3</v>
      </c>
      <c r="G239" s="57">
        <v>2</v>
      </c>
      <c r="H239" s="57">
        <v>3</v>
      </c>
      <c r="I239" s="57">
        <v>1</v>
      </c>
    </row>
    <row r="240" spans="1:10" ht="21.75" customHeight="1" x14ac:dyDescent="0.2">
      <c r="A240" s="70">
        <f t="shared" si="3"/>
        <v>238</v>
      </c>
      <c r="B240" s="2" t="s">
        <v>740</v>
      </c>
      <c r="C240" s="84">
        <v>42354</v>
      </c>
      <c r="D240" s="2" t="s">
        <v>67</v>
      </c>
      <c r="E240" s="74">
        <v>2</v>
      </c>
      <c r="F240" s="75">
        <v>2</v>
      </c>
    </row>
    <row r="241" spans="1:11" ht="21.75" customHeight="1" x14ac:dyDescent="0.2">
      <c r="A241" s="70">
        <f t="shared" si="3"/>
        <v>239</v>
      </c>
      <c r="B241" s="2" t="s">
        <v>741</v>
      </c>
      <c r="C241" s="84">
        <v>42354</v>
      </c>
      <c r="D241" s="2" t="s">
        <v>67</v>
      </c>
      <c r="E241" s="74">
        <v>3</v>
      </c>
      <c r="F241" s="75">
        <v>2</v>
      </c>
    </row>
    <row r="242" spans="1:11" ht="21.75" customHeight="1" x14ac:dyDescent="0.2">
      <c r="A242" s="70">
        <f t="shared" si="3"/>
        <v>240</v>
      </c>
      <c r="B242" s="2" t="s">
        <v>742</v>
      </c>
      <c r="C242" s="84">
        <v>42354</v>
      </c>
      <c r="D242" s="2" t="s">
        <v>67</v>
      </c>
      <c r="E242" s="74">
        <v>2</v>
      </c>
      <c r="F242" s="75">
        <v>2</v>
      </c>
    </row>
    <row r="243" spans="1:11" ht="21.75" customHeight="1" x14ac:dyDescent="0.2">
      <c r="A243" s="70">
        <f t="shared" si="3"/>
        <v>241</v>
      </c>
      <c r="B243" s="2" t="s">
        <v>743</v>
      </c>
      <c r="C243" s="84">
        <v>42354</v>
      </c>
      <c r="D243" s="2" t="s">
        <v>67</v>
      </c>
      <c r="E243" s="74">
        <v>2</v>
      </c>
      <c r="F243" s="75">
        <v>2</v>
      </c>
      <c r="G243" s="57">
        <v>1</v>
      </c>
      <c r="H243" s="57">
        <v>3</v>
      </c>
    </row>
    <row r="244" spans="1:11" ht="21.75" customHeight="1" x14ac:dyDescent="0.2">
      <c r="A244" s="70">
        <f t="shared" si="3"/>
        <v>242</v>
      </c>
      <c r="B244" s="2" t="s">
        <v>744</v>
      </c>
      <c r="C244" s="84">
        <v>42354</v>
      </c>
      <c r="D244" s="2" t="s">
        <v>67</v>
      </c>
      <c r="E244" s="74">
        <v>3</v>
      </c>
      <c r="F244" s="75">
        <v>3</v>
      </c>
      <c r="G244" s="57">
        <v>2</v>
      </c>
      <c r="H244" s="57">
        <v>1</v>
      </c>
      <c r="I244" s="57">
        <v>3</v>
      </c>
      <c r="K244" t="s">
        <v>643</v>
      </c>
    </row>
    <row r="245" spans="1:11" ht="21.75" customHeight="1" x14ac:dyDescent="0.2">
      <c r="A245" s="70">
        <f t="shared" si="3"/>
        <v>243</v>
      </c>
      <c r="B245" s="94" t="s">
        <v>745</v>
      </c>
      <c r="C245" s="95">
        <v>42373</v>
      </c>
      <c r="D245" s="2" t="s">
        <v>67</v>
      </c>
      <c r="E245" s="74">
        <v>2</v>
      </c>
      <c r="F245" s="75">
        <v>2</v>
      </c>
    </row>
    <row r="246" spans="1:11" ht="21.75" customHeight="1" x14ac:dyDescent="0.2">
      <c r="A246" s="70">
        <f t="shared" si="3"/>
        <v>244</v>
      </c>
      <c r="B246" s="96" t="s">
        <v>746</v>
      </c>
      <c r="C246" s="95">
        <v>42373</v>
      </c>
      <c r="D246" s="2" t="s">
        <v>67</v>
      </c>
      <c r="E246" s="74">
        <v>3</v>
      </c>
      <c r="F246" s="75">
        <v>2</v>
      </c>
    </row>
    <row r="247" spans="1:11" ht="21.75" customHeight="1" x14ac:dyDescent="0.2">
      <c r="A247" s="70">
        <f t="shared" si="3"/>
        <v>245</v>
      </c>
      <c r="B247" s="96" t="s">
        <v>747</v>
      </c>
      <c r="C247" s="95">
        <v>42373</v>
      </c>
      <c r="D247" s="2" t="s">
        <v>67</v>
      </c>
      <c r="E247" s="74">
        <v>3</v>
      </c>
      <c r="F247" s="75">
        <v>2</v>
      </c>
    </row>
    <row r="248" spans="1:11" s="28" customFormat="1" ht="21.75" customHeight="1" x14ac:dyDescent="0.2">
      <c r="A248" s="88">
        <f t="shared" si="3"/>
        <v>246</v>
      </c>
      <c r="B248" s="97" t="s">
        <v>748</v>
      </c>
      <c r="C248" s="98">
        <v>42373</v>
      </c>
      <c r="D248" s="89" t="s">
        <v>67</v>
      </c>
      <c r="E248" s="1">
        <v>3</v>
      </c>
      <c r="F248" s="91"/>
      <c r="G248" s="92"/>
      <c r="H248" s="92"/>
      <c r="I248" s="92"/>
      <c r="J248" s="92"/>
    </row>
    <row r="249" spans="1:11" ht="21.75" customHeight="1" x14ac:dyDescent="0.2">
      <c r="A249" s="70">
        <f t="shared" si="3"/>
        <v>247</v>
      </c>
      <c r="B249" s="96" t="s">
        <v>749</v>
      </c>
      <c r="C249" s="95">
        <v>42373</v>
      </c>
      <c r="D249" s="2" t="s">
        <v>67</v>
      </c>
      <c r="E249" s="74">
        <v>3</v>
      </c>
      <c r="F249" s="75">
        <v>2</v>
      </c>
      <c r="G249" s="57">
        <v>1</v>
      </c>
      <c r="H249" s="57">
        <v>3</v>
      </c>
      <c r="I249" s="57">
        <v>2</v>
      </c>
    </row>
    <row r="250" spans="1:11" ht="21.75" customHeight="1" x14ac:dyDescent="0.2">
      <c r="A250" s="70">
        <f t="shared" si="3"/>
        <v>248</v>
      </c>
      <c r="B250" s="96" t="s">
        <v>750</v>
      </c>
      <c r="C250" s="95">
        <v>42373</v>
      </c>
      <c r="D250" s="2" t="s">
        <v>67</v>
      </c>
      <c r="E250" s="74">
        <v>3</v>
      </c>
      <c r="F250" s="75">
        <v>2</v>
      </c>
    </row>
    <row r="251" spans="1:11" ht="21.75" customHeight="1" x14ac:dyDescent="0.2">
      <c r="A251" s="70">
        <f t="shared" si="3"/>
        <v>249</v>
      </c>
      <c r="B251" s="96" t="s">
        <v>751</v>
      </c>
      <c r="C251" s="95">
        <v>42373</v>
      </c>
      <c r="D251" s="2" t="s">
        <v>67</v>
      </c>
      <c r="E251" s="74">
        <v>3</v>
      </c>
      <c r="F251" s="75">
        <v>2</v>
      </c>
    </row>
    <row r="252" spans="1:11" ht="21.75" customHeight="1" x14ac:dyDescent="0.2">
      <c r="A252" s="70">
        <f t="shared" si="3"/>
        <v>250</v>
      </c>
      <c r="B252" s="96" t="s">
        <v>752</v>
      </c>
      <c r="C252" s="95">
        <v>42373</v>
      </c>
      <c r="D252" s="2" t="s">
        <v>67</v>
      </c>
      <c r="E252" s="74">
        <v>3</v>
      </c>
      <c r="F252" s="75">
        <v>2</v>
      </c>
      <c r="G252" s="57">
        <v>3</v>
      </c>
      <c r="H252" s="57">
        <v>1</v>
      </c>
      <c r="I252" s="57">
        <v>2</v>
      </c>
      <c r="J252" s="57" t="s">
        <v>281</v>
      </c>
    </row>
    <row r="253" spans="1:11" ht="21.75" customHeight="1" x14ac:dyDescent="0.2">
      <c r="A253" s="70">
        <f t="shared" si="3"/>
        <v>251</v>
      </c>
      <c r="B253" s="2" t="s">
        <v>753</v>
      </c>
      <c r="C253" s="3">
        <v>42415</v>
      </c>
      <c r="D253" s="2" t="s">
        <v>67</v>
      </c>
      <c r="E253" s="74">
        <v>3</v>
      </c>
      <c r="F253" s="75">
        <v>1</v>
      </c>
    </row>
    <row r="254" spans="1:11" ht="21.75" customHeight="1" x14ac:dyDescent="0.2">
      <c r="A254" s="70">
        <f t="shared" si="3"/>
        <v>252</v>
      </c>
      <c r="B254" s="2" t="s">
        <v>754</v>
      </c>
      <c r="C254" s="3">
        <v>42415</v>
      </c>
      <c r="D254" s="2" t="s">
        <v>120</v>
      </c>
      <c r="E254" s="1">
        <v>2</v>
      </c>
      <c r="F254" s="73"/>
      <c r="G254"/>
      <c r="H254"/>
      <c r="I254"/>
      <c r="J254"/>
    </row>
    <row r="255" spans="1:11" ht="21.75" customHeight="1" x14ac:dyDescent="0.2">
      <c r="A255" s="70">
        <f t="shared" si="3"/>
        <v>253</v>
      </c>
      <c r="B255" s="2" t="s">
        <v>755</v>
      </c>
      <c r="C255" s="3">
        <v>42415</v>
      </c>
      <c r="D255" s="2" t="s">
        <v>120</v>
      </c>
      <c r="E255" s="1">
        <v>2</v>
      </c>
      <c r="F255" s="73"/>
      <c r="G255"/>
      <c r="H255"/>
      <c r="I255"/>
      <c r="J255"/>
    </row>
    <row r="256" spans="1:11" ht="21.75" customHeight="1" x14ac:dyDescent="0.2">
      <c r="A256" s="70">
        <f t="shared" si="3"/>
        <v>254</v>
      </c>
      <c r="B256" s="2" t="s">
        <v>756</v>
      </c>
      <c r="C256" s="3">
        <v>42422</v>
      </c>
      <c r="D256" s="1" t="s">
        <v>67</v>
      </c>
      <c r="E256" s="74">
        <v>2</v>
      </c>
      <c r="F256" s="75">
        <v>1</v>
      </c>
      <c r="G256" s="57">
        <v>1</v>
      </c>
      <c r="H256" s="57">
        <v>2</v>
      </c>
      <c r="I256" s="57">
        <v>3</v>
      </c>
      <c r="J256" s="57" t="s">
        <v>281</v>
      </c>
    </row>
    <row r="257" spans="1:10" ht="21.75" customHeight="1" x14ac:dyDescent="0.2">
      <c r="A257" s="70">
        <f t="shared" si="3"/>
        <v>255</v>
      </c>
      <c r="B257" s="2" t="s">
        <v>757</v>
      </c>
      <c r="C257" s="3">
        <v>42422</v>
      </c>
      <c r="D257" s="1" t="s">
        <v>120</v>
      </c>
      <c r="E257" s="1">
        <v>2</v>
      </c>
      <c r="F257" s="73"/>
      <c r="G257"/>
      <c r="H257"/>
      <c r="I257"/>
      <c r="J257"/>
    </row>
    <row r="258" spans="1:10" ht="21.75" customHeight="1" x14ac:dyDescent="0.2">
      <c r="A258" s="70">
        <v>255</v>
      </c>
      <c r="B258" s="2" t="s">
        <v>758</v>
      </c>
      <c r="C258" s="3">
        <v>42450</v>
      </c>
      <c r="D258" s="1" t="s">
        <v>67</v>
      </c>
      <c r="E258" s="73"/>
      <c r="F258" s="1"/>
      <c r="G258" t="s">
        <v>281</v>
      </c>
      <c r="H258">
        <v>1</v>
      </c>
      <c r="I258">
        <v>2</v>
      </c>
      <c r="J258">
        <v>3</v>
      </c>
    </row>
    <row r="259" spans="1:10" ht="21.75" customHeight="1" x14ac:dyDescent="0.2">
      <c r="A259" s="70">
        <v>256</v>
      </c>
      <c r="B259" s="2" t="s">
        <v>759</v>
      </c>
      <c r="C259" s="3">
        <v>42450</v>
      </c>
      <c r="D259" s="1" t="s">
        <v>67</v>
      </c>
      <c r="E259" s="73"/>
      <c r="F259" s="1"/>
      <c r="G259">
        <v>1</v>
      </c>
      <c r="H259">
        <v>3</v>
      </c>
      <c r="I259">
        <v>2</v>
      </c>
      <c r="J259"/>
    </row>
    <row r="260" spans="1:10" ht="21.75" customHeight="1" x14ac:dyDescent="0.2">
      <c r="A260" s="70">
        <v>257</v>
      </c>
      <c r="B260" s="2" t="s">
        <v>760</v>
      </c>
      <c r="C260" s="3">
        <v>42450</v>
      </c>
      <c r="D260" s="1" t="s">
        <v>67</v>
      </c>
      <c r="E260" s="73"/>
      <c r="F260" s="1"/>
      <c r="G260"/>
      <c r="H260"/>
      <c r="I260"/>
      <c r="J260"/>
    </row>
    <row r="261" spans="1:10" ht="21.75" customHeight="1" x14ac:dyDescent="0.2">
      <c r="A261" s="70">
        <v>258</v>
      </c>
      <c r="B261" s="99" t="s">
        <v>761</v>
      </c>
      <c r="C261" s="3">
        <v>42457</v>
      </c>
      <c r="D261" s="1" t="s">
        <v>67</v>
      </c>
      <c r="F261" s="85"/>
    </row>
    <row r="262" spans="1:10" ht="21.75" customHeight="1" x14ac:dyDescent="0.2">
      <c r="A262" s="70">
        <v>259</v>
      </c>
      <c r="B262" s="99" t="s">
        <v>762</v>
      </c>
      <c r="C262" s="3">
        <v>42457</v>
      </c>
      <c r="D262" s="1" t="s">
        <v>67</v>
      </c>
      <c r="F262" s="85"/>
    </row>
    <row r="263" spans="1:10" ht="21.75" customHeight="1" x14ac:dyDescent="0.2">
      <c r="A263" s="70">
        <f t="shared" ref="A263:A281" si="4">A262+1</f>
        <v>260</v>
      </c>
      <c r="B263" s="99" t="s">
        <v>763</v>
      </c>
      <c r="C263" s="3">
        <v>42457</v>
      </c>
      <c r="D263" s="1" t="s">
        <v>67</v>
      </c>
      <c r="F263" s="85"/>
      <c r="G263" s="57">
        <v>3</v>
      </c>
      <c r="H263" s="57">
        <v>2</v>
      </c>
      <c r="I263" s="57" t="s">
        <v>281</v>
      </c>
      <c r="J263" s="57">
        <v>1</v>
      </c>
    </row>
    <row r="264" spans="1:10" ht="21.75" customHeight="1" x14ac:dyDescent="0.2">
      <c r="A264" s="70">
        <f t="shared" si="4"/>
        <v>261</v>
      </c>
      <c r="B264" s="99" t="s">
        <v>764</v>
      </c>
      <c r="C264" s="3">
        <v>42457</v>
      </c>
      <c r="D264" s="1" t="s">
        <v>67</v>
      </c>
      <c r="F264" s="85"/>
      <c r="G264" s="57">
        <v>3</v>
      </c>
      <c r="H264" s="57">
        <v>2</v>
      </c>
      <c r="I264" s="57" t="s">
        <v>281</v>
      </c>
      <c r="J264" s="57">
        <v>1</v>
      </c>
    </row>
    <row r="265" spans="1:10" ht="21.75" customHeight="1" x14ac:dyDescent="0.2">
      <c r="A265" s="70">
        <f t="shared" si="4"/>
        <v>262</v>
      </c>
      <c r="B265" s="99" t="s">
        <v>765</v>
      </c>
      <c r="C265" s="3">
        <v>42457</v>
      </c>
      <c r="D265" s="1" t="s">
        <v>67</v>
      </c>
      <c r="F265" s="85"/>
      <c r="G265" s="57">
        <v>3</v>
      </c>
      <c r="H265" s="57">
        <v>2</v>
      </c>
      <c r="I265" s="57" t="s">
        <v>281</v>
      </c>
      <c r="J265" s="57">
        <v>1</v>
      </c>
    </row>
    <row r="266" spans="1:10" ht="21.75" customHeight="1" x14ac:dyDescent="0.2">
      <c r="A266" s="70">
        <f t="shared" si="4"/>
        <v>263</v>
      </c>
      <c r="B266" s="99" t="s">
        <v>766</v>
      </c>
      <c r="C266" s="3">
        <v>42457</v>
      </c>
      <c r="D266" s="1" t="s">
        <v>67</v>
      </c>
      <c r="F266" s="85"/>
    </row>
    <row r="267" spans="1:10" ht="21.75" customHeight="1" x14ac:dyDescent="0.2">
      <c r="A267" s="70">
        <f t="shared" si="4"/>
        <v>264</v>
      </c>
      <c r="C267" s="3">
        <v>42471</v>
      </c>
    </row>
    <row r="268" spans="1:10" ht="21.75" customHeight="1" x14ac:dyDescent="0.2">
      <c r="A268" s="70">
        <f t="shared" si="4"/>
        <v>265</v>
      </c>
      <c r="C268" s="3">
        <v>42471</v>
      </c>
    </row>
    <row r="269" spans="1:10" ht="21.75" customHeight="1" x14ac:dyDescent="0.2">
      <c r="A269" s="70">
        <f t="shared" si="4"/>
        <v>266</v>
      </c>
      <c r="C269" s="3">
        <v>42471</v>
      </c>
    </row>
    <row r="270" spans="1:10" ht="21.75" customHeight="1" x14ac:dyDescent="0.2">
      <c r="A270" s="70">
        <f t="shared" si="4"/>
        <v>267</v>
      </c>
      <c r="C270" s="3">
        <v>42471</v>
      </c>
    </row>
    <row r="271" spans="1:10" ht="21.75" customHeight="1" x14ac:dyDescent="0.2">
      <c r="A271" s="70">
        <f t="shared" si="4"/>
        <v>268</v>
      </c>
      <c r="C271" s="3">
        <v>42471</v>
      </c>
    </row>
    <row r="272" spans="1:10" ht="21.75" customHeight="1" x14ac:dyDescent="0.2">
      <c r="A272" s="70">
        <f t="shared" si="4"/>
        <v>269</v>
      </c>
      <c r="C272" s="3">
        <v>42471</v>
      </c>
    </row>
    <row r="273" spans="1:3" ht="21.75" customHeight="1" x14ac:dyDescent="0.2">
      <c r="A273" s="70">
        <f t="shared" si="4"/>
        <v>270</v>
      </c>
      <c r="C273" s="3">
        <v>42471</v>
      </c>
    </row>
    <row r="274" spans="1:3" ht="21.75" customHeight="1" x14ac:dyDescent="0.2">
      <c r="A274" s="70">
        <f t="shared" si="4"/>
        <v>271</v>
      </c>
      <c r="C274" s="3">
        <v>42471</v>
      </c>
    </row>
    <row r="275" spans="1:3" ht="21.75" customHeight="1" x14ac:dyDescent="0.2">
      <c r="A275" s="70">
        <f t="shared" si="4"/>
        <v>272</v>
      </c>
      <c r="C275" s="3">
        <v>42485</v>
      </c>
    </row>
    <row r="276" spans="1:3" ht="21.75" customHeight="1" x14ac:dyDescent="0.2">
      <c r="A276" s="70">
        <f t="shared" si="4"/>
        <v>273</v>
      </c>
      <c r="C276" s="3">
        <v>42485</v>
      </c>
    </row>
    <row r="277" spans="1:3" ht="21.75" customHeight="1" x14ac:dyDescent="0.2">
      <c r="A277" s="70">
        <f t="shared" si="4"/>
        <v>274</v>
      </c>
      <c r="C277" s="3">
        <v>42485</v>
      </c>
    </row>
    <row r="278" spans="1:3" ht="21.75" customHeight="1" x14ac:dyDescent="0.2">
      <c r="A278" s="70">
        <f t="shared" si="4"/>
        <v>275</v>
      </c>
      <c r="C278" s="3">
        <v>42485</v>
      </c>
    </row>
    <row r="279" spans="1:3" ht="21.75" customHeight="1" x14ac:dyDescent="0.2">
      <c r="A279" s="70">
        <f t="shared" si="4"/>
        <v>276</v>
      </c>
      <c r="C279" s="3">
        <v>42485</v>
      </c>
    </row>
    <row r="280" spans="1:3" ht="21.75" customHeight="1" x14ac:dyDescent="0.2">
      <c r="A280" s="70">
        <f t="shared" si="4"/>
        <v>277</v>
      </c>
      <c r="C280" s="3">
        <v>42485</v>
      </c>
    </row>
    <row r="281" spans="1:3" ht="21.75" customHeight="1" x14ac:dyDescent="0.2">
      <c r="A281" s="70">
        <f t="shared" si="4"/>
        <v>278</v>
      </c>
      <c r="C281" s="3">
        <v>42485</v>
      </c>
    </row>
    <row r="282" spans="1:3" ht="21.75" customHeight="1" x14ac:dyDescent="0.2">
      <c r="C282" s="3"/>
    </row>
  </sheetData>
  <autoFilter ref="A2:E281"/>
  <pageMargins left="0.7" right="0.7" top="0" bottom="0" header="0.3" footer="0.3"/>
  <pageSetup scale="95" fitToWidth="4" fitToHeight="4" orientation="portrait" r:id="rId1"/>
  <headerFooter>
    <oddHeader>&amp;R&amp;D</oddHeader>
    <oddFooter>&amp;R&amp;P</oddFooter>
    <evenHeader>&amp;R&amp;D</evenHeader>
    <evenFooter>&amp;R&amp;P</evenFooter>
    <firstHeader>&amp;R&amp;D</firstHeader>
    <firstFooter>&amp;R&amp;P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W10"/>
  <sheetViews>
    <sheetView view="pageBreakPreview" zoomScale="55" zoomScaleNormal="100" zoomScaleSheetLayoutView="55" workbookViewId="0">
      <pane xSplit="2" ySplit="3" topLeftCell="C4" activePane="bottomRight" state="frozenSplit"/>
      <selection pane="topRight" activeCell="H1" sqref="H1"/>
      <selection pane="bottomLeft" activeCell="A15" sqref="A15"/>
      <selection pane="bottomRight" activeCell="D28" sqref="D28"/>
    </sheetView>
  </sheetViews>
  <sheetFormatPr defaultRowHeight="20.25" x14ac:dyDescent="0.3"/>
  <cols>
    <col min="1" max="1" width="23.75" style="11" customWidth="1"/>
    <col min="2" max="2" width="13.625" style="11" customWidth="1"/>
    <col min="3" max="3" width="10.125" style="11" bestFit="1" customWidth="1"/>
    <col min="4" max="4" width="11.625" style="11" bestFit="1" customWidth="1"/>
    <col min="5" max="5" width="4.875" style="11" customWidth="1"/>
    <col min="6" max="6" width="10.125" style="11" bestFit="1" customWidth="1"/>
    <col min="7" max="7" width="11.625" style="11" bestFit="1" customWidth="1"/>
    <col min="8" max="8" width="4.875" style="11" bestFit="1" customWidth="1"/>
    <col min="9" max="9" width="12" style="11" customWidth="1"/>
    <col min="10" max="10" width="11.625" style="11" bestFit="1" customWidth="1"/>
    <col min="11" max="11" width="4.875" style="11" bestFit="1" customWidth="1"/>
    <col min="12" max="12" width="10.75" style="12" customWidth="1"/>
    <col min="13" max="13" width="11.625" style="12" bestFit="1" customWidth="1"/>
    <col min="14" max="14" width="8.875" style="12" bestFit="1" customWidth="1"/>
    <col min="15" max="15" width="10.75" style="12" customWidth="1"/>
    <col min="16" max="16" width="11.625" style="12" bestFit="1" customWidth="1"/>
    <col min="17" max="17" width="8.875" style="12" bestFit="1" customWidth="1"/>
    <col min="18" max="18" width="10.75" style="12" customWidth="1"/>
    <col min="19" max="19" width="11.625" style="12" bestFit="1" customWidth="1"/>
    <col min="20" max="20" width="8.875" style="12" bestFit="1" customWidth="1"/>
    <col min="21" max="21" width="10.75" style="12" customWidth="1"/>
    <col min="22" max="22" width="11.625" style="12" bestFit="1" customWidth="1"/>
    <col min="23" max="23" width="8.875" style="12" bestFit="1" customWidth="1"/>
    <col min="24" max="16384" width="9" style="11"/>
  </cols>
  <sheetData>
    <row r="1" spans="1:23" s="12" customFormat="1" ht="44.25" customHeight="1" thickBot="1" x14ac:dyDescent="0.45">
      <c r="A1" s="165" t="s">
        <v>451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</row>
    <row r="2" spans="1:23" x14ac:dyDescent="0.3">
      <c r="A2" s="167" t="s">
        <v>37</v>
      </c>
      <c r="B2" s="169" t="s">
        <v>38</v>
      </c>
      <c r="C2" s="162">
        <v>42394</v>
      </c>
      <c r="D2" s="163"/>
      <c r="E2" s="164"/>
      <c r="F2" s="162">
        <f>C2+1</f>
        <v>42395</v>
      </c>
      <c r="G2" s="163"/>
      <c r="H2" s="164"/>
      <c r="I2" s="162">
        <f>F2+1</f>
        <v>42396</v>
      </c>
      <c r="J2" s="163"/>
      <c r="K2" s="164"/>
      <c r="L2" s="162">
        <f>I2+1</f>
        <v>42397</v>
      </c>
      <c r="M2" s="163"/>
      <c r="N2" s="164"/>
      <c r="O2" s="162">
        <f>L2+1</f>
        <v>42398</v>
      </c>
      <c r="P2" s="163"/>
      <c r="Q2" s="164"/>
      <c r="R2" s="162">
        <f>O2+1</f>
        <v>42399</v>
      </c>
      <c r="S2" s="163"/>
      <c r="T2" s="164"/>
      <c r="U2" s="162">
        <f>R2+1</f>
        <v>42400</v>
      </c>
      <c r="V2" s="163"/>
      <c r="W2" s="164"/>
    </row>
    <row r="3" spans="1:23" ht="21" thickBot="1" x14ac:dyDescent="0.35">
      <c r="A3" s="168"/>
      <c r="B3" s="170"/>
      <c r="C3" s="20" t="s">
        <v>320</v>
      </c>
      <c r="D3" s="21" t="s">
        <v>319</v>
      </c>
      <c r="E3" s="22" t="s">
        <v>276</v>
      </c>
      <c r="F3" s="20" t="s">
        <v>320</v>
      </c>
      <c r="G3" s="21" t="s">
        <v>319</v>
      </c>
      <c r="H3" s="22" t="s">
        <v>276</v>
      </c>
      <c r="I3" s="20" t="s">
        <v>320</v>
      </c>
      <c r="J3" s="21" t="s">
        <v>319</v>
      </c>
      <c r="K3" s="22" t="s">
        <v>276</v>
      </c>
      <c r="L3" s="20" t="s">
        <v>320</v>
      </c>
      <c r="M3" s="21" t="s">
        <v>319</v>
      </c>
      <c r="N3" s="22" t="s">
        <v>276</v>
      </c>
      <c r="O3" s="20" t="s">
        <v>320</v>
      </c>
      <c r="P3" s="21" t="s">
        <v>319</v>
      </c>
      <c r="Q3" s="22" t="s">
        <v>276</v>
      </c>
      <c r="R3" s="20" t="s">
        <v>320</v>
      </c>
      <c r="S3" s="21" t="s">
        <v>319</v>
      </c>
      <c r="T3" s="22" t="s">
        <v>276</v>
      </c>
      <c r="U3" s="20" t="s">
        <v>320</v>
      </c>
      <c r="V3" s="21" t="s">
        <v>319</v>
      </c>
      <c r="W3" s="22" t="s">
        <v>276</v>
      </c>
    </row>
    <row r="4" spans="1:23" ht="22.5" customHeight="1" x14ac:dyDescent="0.3">
      <c r="A4" s="14" t="s">
        <v>378</v>
      </c>
      <c r="B4" s="15" t="s">
        <v>259</v>
      </c>
      <c r="C4" s="19">
        <v>0</v>
      </c>
      <c r="D4" s="16"/>
      <c r="E4" s="17"/>
      <c r="F4" s="18">
        <v>0</v>
      </c>
      <c r="G4" s="16"/>
      <c r="H4" s="17"/>
      <c r="I4" s="18">
        <v>8</v>
      </c>
      <c r="J4" s="16"/>
      <c r="K4" s="17"/>
      <c r="L4" s="18">
        <v>8</v>
      </c>
      <c r="M4" s="16"/>
      <c r="N4" s="17"/>
      <c r="O4" s="30">
        <v>0</v>
      </c>
      <c r="P4" s="31"/>
      <c r="Q4" s="32"/>
      <c r="R4" s="30">
        <v>0</v>
      </c>
      <c r="S4" s="31"/>
      <c r="T4" s="32"/>
      <c r="U4" s="30">
        <v>0</v>
      </c>
      <c r="V4" s="31"/>
      <c r="W4" s="32"/>
    </row>
    <row r="5" spans="1:23" ht="22.5" customHeight="1" x14ac:dyDescent="0.3">
      <c r="A5" s="14" t="s">
        <v>396</v>
      </c>
      <c r="B5" s="15" t="s">
        <v>452</v>
      </c>
      <c r="C5" s="19">
        <v>0</v>
      </c>
      <c r="D5" s="16"/>
      <c r="E5" s="17"/>
      <c r="F5" s="18">
        <v>0</v>
      </c>
      <c r="G5" s="16"/>
      <c r="H5" s="17"/>
      <c r="I5" s="18">
        <v>8</v>
      </c>
      <c r="J5" s="16"/>
      <c r="K5" s="17"/>
      <c r="L5" s="18">
        <v>8</v>
      </c>
      <c r="M5" s="16"/>
      <c r="N5" s="17"/>
      <c r="O5" s="30">
        <v>0</v>
      </c>
      <c r="P5" s="31"/>
      <c r="Q5" s="32"/>
      <c r="R5" s="30">
        <v>0</v>
      </c>
      <c r="S5" s="31"/>
      <c r="T5" s="32"/>
      <c r="U5" s="30">
        <v>0</v>
      </c>
      <c r="V5" s="31"/>
      <c r="W5" s="32"/>
    </row>
    <row r="6" spans="1:23" ht="22.5" customHeight="1" x14ac:dyDescent="0.3">
      <c r="A6" s="14" t="s">
        <v>396</v>
      </c>
      <c r="B6" s="15" t="s">
        <v>62</v>
      </c>
      <c r="C6" s="19">
        <v>0</v>
      </c>
      <c r="D6" s="16"/>
      <c r="E6" s="17"/>
      <c r="F6" s="18">
        <v>0</v>
      </c>
      <c r="G6" s="16"/>
      <c r="H6" s="17"/>
      <c r="I6" s="18">
        <v>8</v>
      </c>
      <c r="J6" s="16"/>
      <c r="K6" s="17"/>
      <c r="L6" s="18">
        <v>8</v>
      </c>
      <c r="M6" s="16"/>
      <c r="N6" s="17"/>
      <c r="O6" s="30">
        <v>0</v>
      </c>
      <c r="P6" s="31"/>
      <c r="Q6" s="32"/>
      <c r="R6" s="30">
        <v>0</v>
      </c>
      <c r="S6" s="31"/>
      <c r="T6" s="32"/>
      <c r="U6" s="30">
        <v>0</v>
      </c>
      <c r="V6" s="31"/>
      <c r="W6" s="32"/>
    </row>
    <row r="7" spans="1:23" ht="22.5" customHeight="1" x14ac:dyDescent="0.3">
      <c r="A7" s="14" t="s">
        <v>396</v>
      </c>
      <c r="B7" s="15" t="s">
        <v>263</v>
      </c>
      <c r="C7" s="19">
        <v>0</v>
      </c>
      <c r="D7" s="16"/>
      <c r="E7" s="17"/>
      <c r="F7" s="18">
        <v>0</v>
      </c>
      <c r="G7" s="16"/>
      <c r="H7" s="17"/>
      <c r="I7" s="18">
        <v>8</v>
      </c>
      <c r="J7" s="16"/>
      <c r="K7" s="17"/>
      <c r="L7" s="18">
        <v>8</v>
      </c>
      <c r="M7" s="16"/>
      <c r="N7" s="17"/>
      <c r="O7" s="30">
        <v>0</v>
      </c>
      <c r="P7" s="31"/>
      <c r="Q7" s="32"/>
      <c r="R7" s="30">
        <v>0</v>
      </c>
      <c r="S7" s="31"/>
      <c r="T7" s="32"/>
      <c r="U7" s="30">
        <v>0</v>
      </c>
      <c r="V7" s="31"/>
      <c r="W7" s="32"/>
    </row>
    <row r="8" spans="1:23" ht="22.5" customHeight="1" x14ac:dyDescent="0.3">
      <c r="A8" s="14" t="s">
        <v>394</v>
      </c>
      <c r="B8" s="15" t="s">
        <v>60</v>
      </c>
      <c r="C8" s="19">
        <v>0</v>
      </c>
      <c r="D8" s="16"/>
      <c r="E8" s="17"/>
      <c r="F8" s="18">
        <v>0</v>
      </c>
      <c r="G8" s="16"/>
      <c r="H8" s="17"/>
      <c r="I8" s="18">
        <v>8</v>
      </c>
      <c r="J8" s="16"/>
      <c r="K8" s="17"/>
      <c r="L8" s="18">
        <v>8</v>
      </c>
      <c r="M8" s="16"/>
      <c r="N8" s="17"/>
      <c r="O8" s="30">
        <v>0</v>
      </c>
      <c r="P8" s="31"/>
      <c r="Q8" s="32"/>
      <c r="R8" s="30">
        <v>0</v>
      </c>
      <c r="S8" s="31"/>
      <c r="T8" s="32"/>
      <c r="U8" s="30">
        <v>0</v>
      </c>
      <c r="V8" s="31"/>
      <c r="W8" s="32"/>
    </row>
    <row r="9" spans="1:23" ht="23.25" customHeight="1" thickBot="1" x14ac:dyDescent="0.35">
      <c r="A9" s="14" t="s">
        <v>301</v>
      </c>
      <c r="B9" s="15" t="s">
        <v>270</v>
      </c>
      <c r="C9" s="19">
        <v>0</v>
      </c>
      <c r="D9" s="16"/>
      <c r="E9" s="17"/>
      <c r="F9" s="18">
        <v>8</v>
      </c>
      <c r="G9" s="16"/>
      <c r="H9" s="17"/>
      <c r="I9" s="18">
        <v>8</v>
      </c>
      <c r="J9" s="16"/>
      <c r="K9" s="17"/>
      <c r="L9" s="18">
        <v>0</v>
      </c>
      <c r="M9" s="16"/>
      <c r="N9" s="17"/>
      <c r="O9" s="30">
        <v>0</v>
      </c>
      <c r="P9" s="31"/>
      <c r="Q9" s="32"/>
      <c r="R9" s="30">
        <v>0</v>
      </c>
      <c r="S9" s="31"/>
      <c r="T9" s="32"/>
      <c r="U9" s="30">
        <v>0</v>
      </c>
      <c r="V9" s="31"/>
      <c r="W9" s="32"/>
    </row>
    <row r="10" spans="1:23" ht="22.5" customHeight="1" x14ac:dyDescent="0.3">
      <c r="A10" s="14" t="s">
        <v>65</v>
      </c>
      <c r="B10" s="15" t="s">
        <v>261</v>
      </c>
      <c r="C10" s="13">
        <v>0</v>
      </c>
      <c r="D10" s="16"/>
      <c r="E10" s="17"/>
      <c r="F10" s="13">
        <v>0</v>
      </c>
      <c r="G10" s="16"/>
      <c r="H10" s="17"/>
      <c r="I10" s="13">
        <v>8</v>
      </c>
      <c r="J10" s="16"/>
      <c r="K10" s="17"/>
      <c r="L10" s="18">
        <v>8</v>
      </c>
      <c r="M10" s="16"/>
      <c r="N10" s="17"/>
      <c r="O10" s="30">
        <v>0</v>
      </c>
      <c r="P10" s="31"/>
      <c r="Q10" s="32"/>
      <c r="R10" s="30">
        <v>0</v>
      </c>
      <c r="S10" s="31"/>
      <c r="T10" s="32"/>
      <c r="U10" s="30">
        <v>0</v>
      </c>
      <c r="V10" s="31"/>
      <c r="W10" s="32"/>
    </row>
  </sheetData>
  <mergeCells count="10">
    <mergeCell ref="R2:T2"/>
    <mergeCell ref="U2:W2"/>
    <mergeCell ref="A1:W1"/>
    <mergeCell ref="A2:A3"/>
    <mergeCell ref="B2:B3"/>
    <mergeCell ref="C2:E2"/>
    <mergeCell ref="F2:H2"/>
    <mergeCell ref="I2:K2"/>
    <mergeCell ref="L2:N2"/>
    <mergeCell ref="O2:Q2"/>
  </mergeCells>
  <pageMargins left="0.25" right="0.25" top="0.75" bottom="0.75" header="0.3" footer="0.3"/>
  <pageSetup scale="38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30"/>
  <sheetViews>
    <sheetView view="pageBreakPreview" zoomScale="55" zoomScaleNormal="100" zoomScaleSheetLayoutView="55" workbookViewId="0">
      <pane xSplit="1" ySplit="3" topLeftCell="B4" activePane="bottomRight" state="frozenSplit"/>
      <selection pane="topRight" activeCell="H1" sqref="H1"/>
      <selection pane="bottomLeft" activeCell="A15" sqref="A15"/>
      <selection pane="bottomRight" sqref="A1:D30"/>
    </sheetView>
  </sheetViews>
  <sheetFormatPr defaultRowHeight="20.25" x14ac:dyDescent="0.3"/>
  <cols>
    <col min="1" max="1" width="25.625" style="11" bestFit="1" customWidth="1"/>
    <col min="2" max="2" width="10.125" style="11" bestFit="1" customWidth="1"/>
    <col min="3" max="3" width="11.625" style="11" bestFit="1" customWidth="1"/>
    <col min="4" max="4" width="4.875" style="11" customWidth="1"/>
    <col min="5" max="16384" width="9" style="11"/>
  </cols>
  <sheetData>
    <row r="1" spans="1:4" s="12" customFormat="1" ht="44.25" customHeight="1" thickBot="1" x14ac:dyDescent="0.35">
      <c r="A1" s="166"/>
      <c r="B1" s="166"/>
      <c r="C1" s="166"/>
      <c r="D1" s="166"/>
    </row>
    <row r="2" spans="1:4" x14ac:dyDescent="0.3">
      <c r="A2" s="169" t="s">
        <v>257</v>
      </c>
      <c r="B2" s="162">
        <v>42528</v>
      </c>
      <c r="C2" s="163"/>
      <c r="D2" s="164"/>
    </row>
    <row r="3" spans="1:4" ht="21" thickBot="1" x14ac:dyDescent="0.35">
      <c r="A3" s="170"/>
      <c r="B3" s="20" t="s">
        <v>320</v>
      </c>
      <c r="C3" s="21" t="s">
        <v>319</v>
      </c>
      <c r="D3" s="22" t="s">
        <v>276</v>
      </c>
    </row>
    <row r="4" spans="1:4" ht="22.5" customHeight="1" x14ac:dyDescent="0.3">
      <c r="A4" s="15" t="s">
        <v>548</v>
      </c>
      <c r="B4" s="19">
        <v>0</v>
      </c>
      <c r="C4" s="16"/>
      <c r="D4" s="17"/>
    </row>
    <row r="5" spans="1:4" ht="22.5" customHeight="1" x14ac:dyDescent="0.3">
      <c r="A5" s="15" t="s">
        <v>555</v>
      </c>
      <c r="B5" s="19">
        <v>2</v>
      </c>
      <c r="C5" s="16"/>
      <c r="D5" s="17"/>
    </row>
    <row r="6" spans="1:4" ht="22.5" customHeight="1" x14ac:dyDescent="0.3">
      <c r="A6" s="15" t="s">
        <v>771</v>
      </c>
      <c r="B6" s="19">
        <v>0</v>
      </c>
      <c r="C6" s="16"/>
      <c r="D6" s="17"/>
    </row>
    <row r="7" spans="1:4" ht="22.5" customHeight="1" x14ac:dyDescent="0.3">
      <c r="A7" s="15" t="s">
        <v>572</v>
      </c>
      <c r="B7" s="19">
        <v>2</v>
      </c>
      <c r="C7" s="16"/>
      <c r="D7" s="17"/>
    </row>
    <row r="8" spans="1:4" ht="22.5" customHeight="1" x14ac:dyDescent="0.3">
      <c r="A8" s="15" t="s">
        <v>585</v>
      </c>
      <c r="B8" s="19">
        <v>0</v>
      </c>
      <c r="C8" s="16"/>
      <c r="D8" s="17"/>
    </row>
    <row r="9" spans="1:4" ht="23.25" customHeight="1" thickBot="1" x14ac:dyDescent="0.35">
      <c r="A9" s="15" t="s">
        <v>591</v>
      </c>
      <c r="B9" s="19">
        <v>2</v>
      </c>
      <c r="C9" s="16"/>
      <c r="D9" s="17"/>
    </row>
    <row r="10" spans="1:4" ht="22.5" customHeight="1" thickBot="1" x14ac:dyDescent="0.35">
      <c r="A10" s="15" t="s">
        <v>592</v>
      </c>
      <c r="B10" s="13">
        <v>2</v>
      </c>
      <c r="C10" s="16"/>
      <c r="D10" s="17"/>
    </row>
    <row r="11" spans="1:4" ht="21" thickBot="1" x14ac:dyDescent="0.35">
      <c r="A11" s="101" t="s">
        <v>628</v>
      </c>
      <c r="B11" s="100">
        <v>2</v>
      </c>
      <c r="C11" s="16"/>
      <c r="D11" s="17"/>
    </row>
    <row r="12" spans="1:4" ht="21" thickBot="1" x14ac:dyDescent="0.35">
      <c r="A12" s="101" t="s">
        <v>595</v>
      </c>
      <c r="B12" s="100">
        <v>2</v>
      </c>
      <c r="C12" s="16"/>
      <c r="D12" s="17"/>
    </row>
    <row r="13" spans="1:4" ht="21" thickBot="1" x14ac:dyDescent="0.35">
      <c r="A13" s="101" t="s">
        <v>596</v>
      </c>
      <c r="B13" s="100">
        <v>0</v>
      </c>
      <c r="C13" s="16"/>
      <c r="D13" s="17"/>
    </row>
    <row r="14" spans="1:4" ht="21" thickBot="1" x14ac:dyDescent="0.35">
      <c r="A14" s="101" t="s">
        <v>598</v>
      </c>
      <c r="B14" s="100">
        <v>2</v>
      </c>
      <c r="C14" s="16"/>
      <c r="D14" s="17"/>
    </row>
    <row r="15" spans="1:4" ht="21" thickBot="1" x14ac:dyDescent="0.35">
      <c r="A15" s="101" t="s">
        <v>600</v>
      </c>
      <c r="B15" s="100">
        <v>2</v>
      </c>
      <c r="C15" s="16"/>
      <c r="D15" s="17"/>
    </row>
    <row r="16" spans="1:4" ht="21" thickBot="1" x14ac:dyDescent="0.35">
      <c r="A16" s="101" t="s">
        <v>644</v>
      </c>
      <c r="B16" s="100">
        <v>2</v>
      </c>
      <c r="C16" s="16"/>
      <c r="D16" s="17"/>
    </row>
    <row r="17" spans="1:4" ht="21" thickBot="1" x14ac:dyDescent="0.35">
      <c r="A17" s="101" t="s">
        <v>602</v>
      </c>
      <c r="B17" s="100">
        <v>0</v>
      </c>
      <c r="C17" s="16"/>
      <c r="D17" s="17"/>
    </row>
    <row r="18" spans="1:4" ht="21" thickBot="1" x14ac:dyDescent="0.35">
      <c r="A18" s="101" t="s">
        <v>607</v>
      </c>
      <c r="B18" s="100">
        <v>0</v>
      </c>
      <c r="C18" s="16"/>
      <c r="D18" s="17"/>
    </row>
    <row r="19" spans="1:4" ht="21" thickBot="1" x14ac:dyDescent="0.35">
      <c r="A19" s="101" t="s">
        <v>610</v>
      </c>
      <c r="B19" s="100">
        <v>2</v>
      </c>
      <c r="C19" s="16"/>
      <c r="D19" s="17"/>
    </row>
    <row r="20" spans="1:4" ht="21" thickBot="1" x14ac:dyDescent="0.35">
      <c r="A20" s="101" t="s">
        <v>611</v>
      </c>
      <c r="B20" s="100">
        <v>0</v>
      </c>
      <c r="C20" s="16"/>
      <c r="D20" s="17"/>
    </row>
    <row r="21" spans="1:4" ht="21" thickBot="1" x14ac:dyDescent="0.35">
      <c r="A21" s="101" t="s">
        <v>613</v>
      </c>
      <c r="B21" s="100">
        <v>2</v>
      </c>
      <c r="C21" s="16"/>
      <c r="D21" s="17"/>
    </row>
    <row r="22" spans="1:4" ht="21" thickBot="1" x14ac:dyDescent="0.35">
      <c r="A22" s="101" t="s">
        <v>616</v>
      </c>
      <c r="B22" s="100">
        <v>0</v>
      </c>
      <c r="C22" s="16"/>
      <c r="D22" s="17"/>
    </row>
    <row r="23" spans="1:4" ht="21" thickBot="1" x14ac:dyDescent="0.35">
      <c r="A23" s="101" t="s">
        <v>618</v>
      </c>
      <c r="B23" s="100">
        <v>0</v>
      </c>
      <c r="C23" s="16"/>
      <c r="D23" s="17"/>
    </row>
    <row r="24" spans="1:4" ht="21" thickBot="1" x14ac:dyDescent="0.35">
      <c r="A24" s="101" t="s">
        <v>620</v>
      </c>
      <c r="B24" s="100">
        <v>0</v>
      </c>
      <c r="C24" s="16"/>
      <c r="D24" s="17"/>
    </row>
    <row r="25" spans="1:4" ht="21" thickBot="1" x14ac:dyDescent="0.35">
      <c r="A25" s="101" t="s">
        <v>622</v>
      </c>
      <c r="B25" s="100">
        <v>2</v>
      </c>
      <c r="C25" s="16"/>
      <c r="D25" s="17"/>
    </row>
    <row r="26" spans="1:4" ht="21" thickBot="1" x14ac:dyDescent="0.35">
      <c r="A26" s="101" t="s">
        <v>772</v>
      </c>
      <c r="B26" s="100">
        <v>0</v>
      </c>
      <c r="C26" s="16"/>
      <c r="D26" s="17"/>
    </row>
    <row r="27" spans="1:4" ht="21" thickBot="1" x14ac:dyDescent="0.35">
      <c r="A27" s="101" t="s">
        <v>773</v>
      </c>
      <c r="B27" s="100">
        <v>0</v>
      </c>
      <c r="C27" s="16"/>
      <c r="D27" s="17"/>
    </row>
    <row r="28" spans="1:4" ht="21" thickBot="1" x14ac:dyDescent="0.35">
      <c r="A28" s="101" t="s">
        <v>774</v>
      </c>
      <c r="B28" s="100">
        <v>0</v>
      </c>
      <c r="C28" s="16"/>
      <c r="D28" s="17"/>
    </row>
    <row r="29" spans="1:4" ht="21" thickBot="1" x14ac:dyDescent="0.35">
      <c r="A29" s="101" t="s">
        <v>631</v>
      </c>
      <c r="B29" s="100">
        <v>2</v>
      </c>
      <c r="C29" s="16"/>
      <c r="D29" s="17"/>
    </row>
    <row r="30" spans="1:4" x14ac:dyDescent="0.3">
      <c r="A30" s="101" t="s">
        <v>634</v>
      </c>
      <c r="B30" s="100">
        <v>2</v>
      </c>
      <c r="C30" s="16"/>
      <c r="D30" s="17"/>
    </row>
  </sheetData>
  <mergeCells count="3">
    <mergeCell ref="A1:D1"/>
    <mergeCell ref="A2:A3"/>
    <mergeCell ref="B2:D2"/>
  </mergeCells>
  <pageMargins left="0.25" right="0.25" top="0.75" bottom="0.75" header="0.3" footer="0.3"/>
  <pageSetup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02"/>
  <sheetViews>
    <sheetView topLeftCell="A52" zoomScale="70" zoomScaleNormal="70" workbookViewId="0">
      <selection activeCell="L85" sqref="L85"/>
    </sheetView>
  </sheetViews>
  <sheetFormatPr defaultRowHeight="14.25" x14ac:dyDescent="0.2"/>
  <cols>
    <col min="1" max="1" width="24.25" style="24" bestFit="1" customWidth="1"/>
    <col min="2" max="2" width="19.625" style="24" customWidth="1"/>
    <col min="3" max="3" width="11.875" style="24" customWidth="1"/>
    <col min="4" max="4" width="3.625" style="24" customWidth="1"/>
    <col min="5" max="5" width="13.75" style="24" customWidth="1"/>
    <col min="6" max="6" width="9.125" style="24" customWidth="1"/>
    <col min="7" max="7" width="9.875" style="24" customWidth="1"/>
    <col min="8" max="8" width="16.5" style="24" customWidth="1"/>
    <col min="9" max="9" width="22.375" style="24" customWidth="1"/>
    <col min="10" max="10" width="11" style="24" customWidth="1"/>
    <col min="11" max="11" width="9.625" style="24" bestFit="1" customWidth="1"/>
    <col min="12" max="12" width="10.125" style="24" bestFit="1" customWidth="1"/>
    <col min="13" max="13" width="9.75" style="24" bestFit="1" customWidth="1"/>
    <col min="14" max="14" width="9.625" style="24" bestFit="1" customWidth="1"/>
    <col min="15" max="15" width="16.75" style="24" customWidth="1"/>
    <col min="16" max="16384" width="9" style="24"/>
  </cols>
  <sheetData>
    <row r="1" spans="1:14" x14ac:dyDescent="0.2">
      <c r="K1" s="171" t="s">
        <v>642</v>
      </c>
      <c r="L1" s="172"/>
      <c r="M1" s="172"/>
      <c r="N1" s="172"/>
    </row>
    <row r="2" spans="1:14" ht="15" thickBot="1" x14ac:dyDescent="0.25">
      <c r="K2" s="172"/>
      <c r="L2" s="172"/>
      <c r="M2" s="172"/>
      <c r="N2" s="172"/>
    </row>
    <row r="3" spans="1:14" ht="35.1" customHeight="1" x14ac:dyDescent="0.2">
      <c r="A3" s="29" t="s">
        <v>0</v>
      </c>
      <c r="B3" s="29" t="s">
        <v>37</v>
      </c>
      <c r="C3" s="29" t="s">
        <v>38</v>
      </c>
      <c r="D3" s="29" t="s">
        <v>39</v>
      </c>
      <c r="E3" s="29" t="s">
        <v>1</v>
      </c>
      <c r="F3" s="29" t="s">
        <v>56</v>
      </c>
      <c r="G3" s="29" t="s">
        <v>379</v>
      </c>
      <c r="H3" s="29" t="s">
        <v>514</v>
      </c>
      <c r="I3" s="29" t="s">
        <v>515</v>
      </c>
      <c r="J3" s="33" t="s">
        <v>638</v>
      </c>
      <c r="K3" s="34" t="s">
        <v>372</v>
      </c>
      <c r="L3" s="35" t="s">
        <v>639</v>
      </c>
      <c r="M3" s="35" t="s">
        <v>640</v>
      </c>
      <c r="N3" s="36" t="s">
        <v>641</v>
      </c>
    </row>
    <row r="4" spans="1:14" ht="35.1" customHeight="1" x14ac:dyDescent="0.2">
      <c r="A4" s="29" t="s">
        <v>542</v>
      </c>
      <c r="B4" s="29" t="s">
        <v>506</v>
      </c>
      <c r="C4" s="29" t="s">
        <v>505</v>
      </c>
      <c r="D4" s="29"/>
      <c r="E4" s="29"/>
      <c r="F4" s="37">
        <v>32001</v>
      </c>
      <c r="G4" s="37" t="s">
        <v>543</v>
      </c>
      <c r="H4" s="29" t="s">
        <v>50</v>
      </c>
      <c r="I4" s="29" t="s">
        <v>516</v>
      </c>
      <c r="J4" s="33" t="s">
        <v>54</v>
      </c>
      <c r="K4" s="38">
        <v>1</v>
      </c>
      <c r="L4" s="29">
        <v>2</v>
      </c>
      <c r="M4" s="29">
        <v>3</v>
      </c>
      <c r="N4" s="39"/>
    </row>
    <row r="5" spans="1:14" ht="35.1" customHeight="1" x14ac:dyDescent="0.2">
      <c r="A5" s="29" t="s">
        <v>544</v>
      </c>
      <c r="B5" s="29" t="s">
        <v>21</v>
      </c>
      <c r="C5" s="29" t="s">
        <v>22</v>
      </c>
      <c r="D5" s="29"/>
      <c r="E5" s="29">
        <v>610349</v>
      </c>
      <c r="F5" s="37">
        <v>32244</v>
      </c>
      <c r="G5" s="37" t="s">
        <v>543</v>
      </c>
      <c r="H5" s="29" t="s">
        <v>50</v>
      </c>
      <c r="I5" s="29" t="s">
        <v>516</v>
      </c>
      <c r="J5" s="33" t="s">
        <v>54</v>
      </c>
      <c r="K5" s="38" t="s">
        <v>281</v>
      </c>
      <c r="L5" s="29">
        <v>1</v>
      </c>
      <c r="M5" s="29"/>
      <c r="N5" s="39"/>
    </row>
    <row r="6" spans="1:14" ht="35.1" customHeight="1" x14ac:dyDescent="0.2">
      <c r="A6" s="29" t="s">
        <v>545</v>
      </c>
      <c r="B6" s="29" t="s">
        <v>325</v>
      </c>
      <c r="C6" s="29" t="s">
        <v>264</v>
      </c>
      <c r="D6" s="29"/>
      <c r="E6" s="29"/>
      <c r="F6" s="37">
        <v>32363</v>
      </c>
      <c r="G6" s="37" t="s">
        <v>543</v>
      </c>
      <c r="H6" s="29" t="s">
        <v>380</v>
      </c>
      <c r="I6" s="29" t="s">
        <v>516</v>
      </c>
      <c r="J6" s="33" t="s">
        <v>54</v>
      </c>
      <c r="K6" s="38"/>
      <c r="L6" s="29"/>
      <c r="M6" s="29"/>
      <c r="N6" s="39"/>
    </row>
    <row r="7" spans="1:14" ht="35.1" customHeight="1" x14ac:dyDescent="0.2">
      <c r="A7" s="29" t="s">
        <v>647</v>
      </c>
      <c r="B7" s="29"/>
      <c r="C7" s="29"/>
      <c r="D7" s="29"/>
      <c r="E7" s="29"/>
      <c r="F7" s="37">
        <v>32419</v>
      </c>
      <c r="G7" s="37"/>
      <c r="H7" s="48" t="s">
        <v>655</v>
      </c>
      <c r="I7" s="29" t="s">
        <v>516</v>
      </c>
      <c r="J7" s="33" t="s">
        <v>293</v>
      </c>
      <c r="K7" s="52">
        <v>3</v>
      </c>
      <c r="L7" s="29">
        <v>3</v>
      </c>
      <c r="M7" s="29">
        <v>3</v>
      </c>
      <c r="N7" s="39"/>
    </row>
    <row r="8" spans="1:14" ht="35.1" customHeight="1" x14ac:dyDescent="0.2">
      <c r="A8" s="29" t="s">
        <v>546</v>
      </c>
      <c r="B8" s="29" t="s">
        <v>19</v>
      </c>
      <c r="C8" s="29" t="s">
        <v>20</v>
      </c>
      <c r="D8" s="29"/>
      <c r="E8" s="29">
        <v>610347</v>
      </c>
      <c r="F8" s="37">
        <v>32519</v>
      </c>
      <c r="G8" s="37" t="s">
        <v>543</v>
      </c>
      <c r="H8" s="29" t="s">
        <v>52</v>
      </c>
      <c r="I8" s="29" t="s">
        <v>516</v>
      </c>
      <c r="J8" s="33" t="s">
        <v>54</v>
      </c>
      <c r="K8" s="38"/>
      <c r="L8" s="29"/>
      <c r="M8" s="29"/>
      <c r="N8" s="39"/>
    </row>
    <row r="9" spans="1:14" ht="35.1" customHeight="1" x14ac:dyDescent="0.2">
      <c r="A9" s="29" t="s">
        <v>547</v>
      </c>
      <c r="B9" s="29" t="s">
        <v>378</v>
      </c>
      <c r="C9" s="29" t="s">
        <v>259</v>
      </c>
      <c r="D9" s="29"/>
      <c r="E9" s="29"/>
      <c r="F9" s="37">
        <v>32685</v>
      </c>
      <c r="G9" s="37" t="s">
        <v>543</v>
      </c>
      <c r="H9" s="29" t="s">
        <v>292</v>
      </c>
      <c r="I9" s="29" t="s">
        <v>318</v>
      </c>
      <c r="J9" s="33" t="s">
        <v>281</v>
      </c>
      <c r="K9" s="38" t="s">
        <v>281</v>
      </c>
      <c r="L9" s="29"/>
      <c r="M9" s="29"/>
      <c r="N9" s="39"/>
    </row>
    <row r="10" spans="1:14" ht="35.1" customHeight="1" x14ac:dyDescent="0.2">
      <c r="A10" s="29" t="s">
        <v>548</v>
      </c>
      <c r="B10" s="29" t="s">
        <v>301</v>
      </c>
      <c r="C10" s="29" t="s">
        <v>271</v>
      </c>
      <c r="D10" s="29"/>
      <c r="E10" s="29"/>
      <c r="F10" s="37">
        <v>35311</v>
      </c>
      <c r="G10" s="37" t="s">
        <v>543</v>
      </c>
      <c r="H10" s="29" t="s">
        <v>51</v>
      </c>
      <c r="I10" s="29" t="s">
        <v>516</v>
      </c>
      <c r="J10" s="33" t="s">
        <v>55</v>
      </c>
      <c r="K10" s="38"/>
      <c r="L10" s="29"/>
      <c r="M10" s="29"/>
      <c r="N10" s="39"/>
    </row>
    <row r="11" spans="1:14" ht="35.1" customHeight="1" x14ac:dyDescent="0.2">
      <c r="A11" s="29" t="s">
        <v>549</v>
      </c>
      <c r="B11" s="29" t="s">
        <v>29</v>
      </c>
      <c r="C11" s="29" t="s">
        <v>47</v>
      </c>
      <c r="D11" s="29" t="s">
        <v>30</v>
      </c>
      <c r="E11" s="29">
        <v>610385</v>
      </c>
      <c r="F11" s="37">
        <v>35478</v>
      </c>
      <c r="G11" s="37" t="s">
        <v>543</v>
      </c>
      <c r="H11" s="29" t="s">
        <v>49</v>
      </c>
      <c r="I11" s="29" t="s">
        <v>516</v>
      </c>
      <c r="J11" s="33" t="s">
        <v>54</v>
      </c>
      <c r="K11" s="38"/>
      <c r="L11" s="29"/>
      <c r="M11" s="29"/>
      <c r="N11" s="39"/>
    </row>
    <row r="12" spans="1:14" ht="35.1" customHeight="1" x14ac:dyDescent="0.2">
      <c r="A12" s="29" t="s">
        <v>550</v>
      </c>
      <c r="B12" s="29" t="s">
        <v>377</v>
      </c>
      <c r="C12" s="29" t="s">
        <v>42</v>
      </c>
      <c r="D12" s="29"/>
      <c r="E12" s="29"/>
      <c r="F12" s="37">
        <v>36018</v>
      </c>
      <c r="G12" s="37" t="s">
        <v>543</v>
      </c>
      <c r="H12" s="29" t="s">
        <v>48</v>
      </c>
      <c r="I12" s="29" t="s">
        <v>516</v>
      </c>
      <c r="J12" s="33" t="s">
        <v>54</v>
      </c>
      <c r="K12" s="38"/>
      <c r="L12" s="29"/>
      <c r="M12" s="29"/>
      <c r="N12" s="39"/>
    </row>
    <row r="13" spans="1:14" ht="35.1" customHeight="1" x14ac:dyDescent="0.2">
      <c r="A13" s="29" t="s">
        <v>551</v>
      </c>
      <c r="B13" s="29" t="s">
        <v>27</v>
      </c>
      <c r="C13" s="29" t="s">
        <v>28</v>
      </c>
      <c r="D13" s="29"/>
      <c r="E13" s="29">
        <v>610373</v>
      </c>
      <c r="F13" s="37">
        <v>36031</v>
      </c>
      <c r="G13" s="37" t="s">
        <v>543</v>
      </c>
      <c r="H13" s="29" t="s">
        <v>332</v>
      </c>
      <c r="I13" s="29" t="s">
        <v>516</v>
      </c>
      <c r="J13" s="33" t="s">
        <v>54</v>
      </c>
      <c r="K13" s="38"/>
      <c r="L13" s="29"/>
      <c r="M13" s="29"/>
      <c r="N13" s="39"/>
    </row>
    <row r="14" spans="1:14" ht="35.1" customHeight="1" x14ac:dyDescent="0.2">
      <c r="A14" s="29" t="s">
        <v>552</v>
      </c>
      <c r="B14" s="29" t="s">
        <v>10</v>
      </c>
      <c r="C14" s="29" t="s">
        <v>11</v>
      </c>
      <c r="D14" s="29" t="s">
        <v>12</v>
      </c>
      <c r="E14" s="29">
        <v>610322</v>
      </c>
      <c r="F14" s="37">
        <v>36284</v>
      </c>
      <c r="G14" s="37" t="s">
        <v>543</v>
      </c>
      <c r="H14" s="29" t="s">
        <v>292</v>
      </c>
      <c r="I14" s="29" t="s">
        <v>318</v>
      </c>
      <c r="J14" s="33" t="s">
        <v>54</v>
      </c>
      <c r="K14" s="38"/>
      <c r="L14" s="29"/>
      <c r="M14" s="29"/>
      <c r="N14" s="39"/>
    </row>
    <row r="15" spans="1:14" ht="35.1" customHeight="1" x14ac:dyDescent="0.2">
      <c r="A15" s="29" t="s">
        <v>553</v>
      </c>
      <c r="B15" s="29" t="s">
        <v>445</v>
      </c>
      <c r="C15" s="29" t="s">
        <v>446</v>
      </c>
      <c r="D15" s="29"/>
      <c r="E15" s="29"/>
      <c r="F15" s="37">
        <v>36286</v>
      </c>
      <c r="G15" s="37" t="s">
        <v>543</v>
      </c>
      <c r="H15" s="29" t="s">
        <v>304</v>
      </c>
      <c r="I15" s="29" t="s">
        <v>516</v>
      </c>
      <c r="J15" s="33" t="s">
        <v>54</v>
      </c>
      <c r="K15" s="38"/>
      <c r="L15" s="29"/>
      <c r="M15" s="29"/>
      <c r="N15" s="39"/>
    </row>
    <row r="16" spans="1:14" ht="35.1" customHeight="1" x14ac:dyDescent="0.2">
      <c r="A16" s="29" t="s">
        <v>554</v>
      </c>
      <c r="B16" s="29" t="s">
        <v>288</v>
      </c>
      <c r="C16" s="29" t="s">
        <v>381</v>
      </c>
      <c r="D16" s="29"/>
      <c r="E16" s="29"/>
      <c r="F16" s="37">
        <v>36976</v>
      </c>
      <c r="G16" s="37" t="s">
        <v>543</v>
      </c>
      <c r="H16" s="29" t="s">
        <v>382</v>
      </c>
      <c r="I16" s="29" t="s">
        <v>516</v>
      </c>
      <c r="J16" s="33" t="s">
        <v>54</v>
      </c>
      <c r="K16" s="38">
        <v>1</v>
      </c>
      <c r="L16" s="29"/>
      <c r="M16" s="29"/>
      <c r="N16" s="39"/>
    </row>
    <row r="17" spans="1:14" ht="35.1" customHeight="1" x14ac:dyDescent="0.2">
      <c r="A17" s="29" t="s">
        <v>555</v>
      </c>
      <c r="B17" s="29" t="s">
        <v>388</v>
      </c>
      <c r="C17" s="29" t="s">
        <v>510</v>
      </c>
      <c r="D17" s="29"/>
      <c r="E17" s="29"/>
      <c r="F17" s="37">
        <v>37019</v>
      </c>
      <c r="G17" s="37" t="s">
        <v>543</v>
      </c>
      <c r="H17" s="29" t="s">
        <v>292</v>
      </c>
      <c r="I17" s="29" t="s">
        <v>318</v>
      </c>
      <c r="J17" s="33" t="s">
        <v>55</v>
      </c>
      <c r="K17" s="38">
        <v>2</v>
      </c>
      <c r="L17" s="29"/>
      <c r="M17" s="29"/>
      <c r="N17" s="39"/>
    </row>
    <row r="18" spans="1:14" ht="35.1" customHeight="1" x14ac:dyDescent="0.2">
      <c r="A18" s="29" t="s">
        <v>556</v>
      </c>
      <c r="B18" s="29" t="s">
        <v>23</v>
      </c>
      <c r="C18" s="29" t="s">
        <v>24</v>
      </c>
      <c r="D18" s="29"/>
      <c r="E18" s="29">
        <v>610353</v>
      </c>
      <c r="F18" s="37">
        <v>37081</v>
      </c>
      <c r="G18" s="37" t="s">
        <v>543</v>
      </c>
      <c r="H18" s="29" t="s">
        <v>331</v>
      </c>
      <c r="I18" s="29" t="s">
        <v>516</v>
      </c>
      <c r="J18" s="33" t="s">
        <v>54</v>
      </c>
      <c r="K18" s="38"/>
      <c r="L18" s="29"/>
      <c r="M18" s="29"/>
      <c r="N18" s="39"/>
    </row>
    <row r="19" spans="1:14" ht="35.1" customHeight="1" x14ac:dyDescent="0.2">
      <c r="A19" s="29" t="s">
        <v>557</v>
      </c>
      <c r="B19" s="29" t="s">
        <v>16</v>
      </c>
      <c r="C19" s="29" t="s">
        <v>17</v>
      </c>
      <c r="D19" s="29"/>
      <c r="E19" s="29">
        <v>610344</v>
      </c>
      <c r="F19" s="37">
        <v>37095</v>
      </c>
      <c r="G19" s="37" t="s">
        <v>543</v>
      </c>
      <c r="H19" s="29" t="s">
        <v>49</v>
      </c>
      <c r="I19" s="29" t="s">
        <v>516</v>
      </c>
      <c r="J19" s="33" t="s">
        <v>281</v>
      </c>
      <c r="K19" s="38">
        <v>1</v>
      </c>
      <c r="L19" s="29"/>
      <c r="M19" s="29"/>
      <c r="N19" s="39"/>
    </row>
    <row r="20" spans="1:14" ht="35.1" customHeight="1" x14ac:dyDescent="0.2">
      <c r="A20" s="29" t="s">
        <v>558</v>
      </c>
      <c r="B20" s="29" t="s">
        <v>16</v>
      </c>
      <c r="C20" s="29" t="s">
        <v>18</v>
      </c>
      <c r="D20" s="29"/>
      <c r="E20" s="29">
        <v>610799</v>
      </c>
      <c r="F20" s="37">
        <v>37155</v>
      </c>
      <c r="G20" s="37" t="s">
        <v>543</v>
      </c>
      <c r="H20" s="29" t="s">
        <v>52</v>
      </c>
      <c r="I20" s="29" t="s">
        <v>516</v>
      </c>
      <c r="J20" s="33" t="s">
        <v>281</v>
      </c>
      <c r="K20" s="38">
        <v>1</v>
      </c>
      <c r="L20" s="29">
        <v>3</v>
      </c>
      <c r="M20" s="29" t="s">
        <v>281</v>
      </c>
      <c r="N20" s="39">
        <v>2</v>
      </c>
    </row>
    <row r="21" spans="1:14" ht="35.1" customHeight="1" x14ac:dyDescent="0.2">
      <c r="A21" s="29" t="s">
        <v>626</v>
      </c>
      <c r="B21" s="29" t="s">
        <v>396</v>
      </c>
      <c r="C21" s="29" t="s">
        <v>263</v>
      </c>
      <c r="D21" s="29"/>
      <c r="E21" s="29"/>
      <c r="F21" s="29">
        <v>37155</v>
      </c>
      <c r="G21" s="29" t="s">
        <v>543</v>
      </c>
      <c r="H21" s="29" t="s">
        <v>625</v>
      </c>
      <c r="I21" s="29" t="s">
        <v>516</v>
      </c>
      <c r="J21" s="33" t="s">
        <v>281</v>
      </c>
      <c r="K21" s="38">
        <v>1</v>
      </c>
      <c r="L21" s="29"/>
      <c r="M21" s="29"/>
      <c r="N21" s="39"/>
    </row>
    <row r="22" spans="1:14" ht="35.1" customHeight="1" x14ac:dyDescent="0.2">
      <c r="A22" s="29" t="s">
        <v>559</v>
      </c>
      <c r="B22" s="29" t="s">
        <v>25</v>
      </c>
      <c r="C22" s="29" t="s">
        <v>26</v>
      </c>
      <c r="D22" s="29"/>
      <c r="E22" s="29">
        <v>610363</v>
      </c>
      <c r="F22" s="37">
        <v>37165</v>
      </c>
      <c r="G22" s="37" t="s">
        <v>543</v>
      </c>
      <c r="H22" s="29" t="s">
        <v>51</v>
      </c>
      <c r="I22" s="29" t="s">
        <v>516</v>
      </c>
      <c r="J22" s="33" t="s">
        <v>54</v>
      </c>
      <c r="K22" s="38"/>
      <c r="L22" s="29"/>
      <c r="M22" s="29"/>
      <c r="N22" s="39"/>
    </row>
    <row r="23" spans="1:14" ht="35.1" customHeight="1" x14ac:dyDescent="0.2">
      <c r="A23" s="29" t="s">
        <v>560</v>
      </c>
      <c r="B23" s="29" t="s">
        <v>5</v>
      </c>
      <c r="C23" s="29" t="s">
        <v>6</v>
      </c>
      <c r="D23" s="29"/>
      <c r="E23" s="29">
        <v>610296</v>
      </c>
      <c r="F23" s="37">
        <v>37301</v>
      </c>
      <c r="G23" s="37" t="s">
        <v>543</v>
      </c>
      <c r="H23" s="29" t="s">
        <v>52</v>
      </c>
      <c r="I23" s="29" t="s">
        <v>516</v>
      </c>
      <c r="J23" s="33" t="s">
        <v>54</v>
      </c>
      <c r="K23" s="38"/>
      <c r="L23" s="29"/>
      <c r="M23" s="29"/>
      <c r="N23" s="39"/>
    </row>
    <row r="24" spans="1:14" ht="35.1" customHeight="1" x14ac:dyDescent="0.2">
      <c r="A24" s="29" t="s">
        <v>561</v>
      </c>
      <c r="B24" s="29" t="s">
        <v>31</v>
      </c>
      <c r="C24" s="29" t="s">
        <v>32</v>
      </c>
      <c r="D24" s="29" t="s">
        <v>33</v>
      </c>
      <c r="E24" s="29">
        <v>610548</v>
      </c>
      <c r="F24" s="37">
        <v>38674</v>
      </c>
      <c r="G24" s="37" t="s">
        <v>543</v>
      </c>
      <c r="H24" s="29" t="s">
        <v>455</v>
      </c>
      <c r="I24" s="29" t="s">
        <v>516</v>
      </c>
      <c r="J24" s="33" t="s">
        <v>54</v>
      </c>
      <c r="K24" s="38"/>
      <c r="L24" s="29"/>
      <c r="M24" s="29"/>
      <c r="N24" s="39"/>
    </row>
    <row r="25" spans="1:14" ht="35.1" customHeight="1" x14ac:dyDescent="0.2">
      <c r="A25" s="29" t="s">
        <v>562</v>
      </c>
      <c r="B25" s="29" t="s">
        <v>2</v>
      </c>
      <c r="C25" s="29" t="s">
        <v>3</v>
      </c>
      <c r="D25" s="29" t="s">
        <v>4</v>
      </c>
      <c r="E25" s="29">
        <v>610550</v>
      </c>
      <c r="F25" s="37">
        <v>38678</v>
      </c>
      <c r="G25" s="37" t="s">
        <v>543</v>
      </c>
      <c r="H25" s="29" t="s">
        <v>48</v>
      </c>
      <c r="I25" s="29" t="s">
        <v>516</v>
      </c>
      <c r="J25" s="33" t="s">
        <v>281</v>
      </c>
      <c r="K25" s="38" t="s">
        <v>281</v>
      </c>
      <c r="L25" s="29">
        <v>1</v>
      </c>
      <c r="M25" s="29"/>
      <c r="N25" s="39"/>
    </row>
    <row r="26" spans="1:14" ht="35.1" customHeight="1" x14ac:dyDescent="0.2">
      <c r="A26" s="29" t="s">
        <v>563</v>
      </c>
      <c r="B26" s="29" t="s">
        <v>386</v>
      </c>
      <c r="C26" s="29" t="s">
        <v>267</v>
      </c>
      <c r="D26" s="29"/>
      <c r="E26" s="29"/>
      <c r="F26" s="37">
        <v>38687</v>
      </c>
      <c r="G26" s="37" t="s">
        <v>543</v>
      </c>
      <c r="H26" s="29" t="s">
        <v>292</v>
      </c>
      <c r="I26" s="29" t="s">
        <v>318</v>
      </c>
      <c r="J26" s="33" t="s">
        <v>293</v>
      </c>
      <c r="K26" s="38"/>
      <c r="L26" s="29"/>
      <c r="M26" s="29"/>
      <c r="N26" s="39"/>
    </row>
    <row r="27" spans="1:14" ht="35.1" customHeight="1" x14ac:dyDescent="0.2">
      <c r="A27" s="29" t="s">
        <v>564</v>
      </c>
      <c r="B27" s="29" t="s">
        <v>397</v>
      </c>
      <c r="C27" s="29" t="s">
        <v>509</v>
      </c>
      <c r="D27" s="29"/>
      <c r="E27" s="29"/>
      <c r="F27" s="37">
        <v>38688</v>
      </c>
      <c r="G27" s="37" t="s">
        <v>543</v>
      </c>
      <c r="H27" s="29" t="s">
        <v>292</v>
      </c>
      <c r="I27" s="29" t="s">
        <v>318</v>
      </c>
      <c r="J27" s="33" t="s">
        <v>54</v>
      </c>
      <c r="K27" s="38"/>
      <c r="L27" s="29"/>
      <c r="M27" s="29"/>
      <c r="N27" s="39"/>
    </row>
    <row r="28" spans="1:14" ht="35.1" customHeight="1" x14ac:dyDescent="0.2">
      <c r="A28" s="29" t="s">
        <v>565</v>
      </c>
      <c r="B28" s="29" t="s">
        <v>387</v>
      </c>
      <c r="C28" s="29" t="s">
        <v>269</v>
      </c>
      <c r="D28" s="29"/>
      <c r="E28" s="29"/>
      <c r="F28" s="37">
        <v>38727</v>
      </c>
      <c r="G28" s="37" t="s">
        <v>543</v>
      </c>
      <c r="H28" s="29" t="s">
        <v>51</v>
      </c>
      <c r="I28" s="29" t="s">
        <v>516</v>
      </c>
      <c r="J28" s="33" t="s">
        <v>54</v>
      </c>
      <c r="K28" s="38"/>
      <c r="L28" s="29"/>
      <c r="M28" s="29"/>
      <c r="N28" s="39"/>
    </row>
    <row r="29" spans="1:14" ht="35.1" customHeight="1" x14ac:dyDescent="0.2">
      <c r="A29" s="29" t="s">
        <v>637</v>
      </c>
      <c r="B29" s="29" t="s">
        <v>635</v>
      </c>
      <c r="C29" s="29" t="s">
        <v>636</v>
      </c>
      <c r="D29" s="29"/>
      <c r="E29" s="29"/>
      <c r="F29" s="29">
        <v>38820</v>
      </c>
      <c r="G29" s="29" t="s">
        <v>543</v>
      </c>
      <c r="H29" s="29" t="s">
        <v>311</v>
      </c>
      <c r="I29" s="29" t="s">
        <v>516</v>
      </c>
      <c r="J29" s="33" t="s">
        <v>55</v>
      </c>
      <c r="K29" s="38" t="s">
        <v>281</v>
      </c>
      <c r="L29" s="29">
        <v>2</v>
      </c>
      <c r="M29" s="29">
        <v>3</v>
      </c>
      <c r="N29" s="39">
        <v>1</v>
      </c>
    </row>
    <row r="30" spans="1:14" ht="35.1" customHeight="1" x14ac:dyDescent="0.2">
      <c r="A30" s="29" t="s">
        <v>566</v>
      </c>
      <c r="B30" s="29" t="s">
        <v>384</v>
      </c>
      <c r="C30" s="29" t="s">
        <v>456</v>
      </c>
      <c r="D30" s="29"/>
      <c r="E30" s="29"/>
      <c r="F30" s="37">
        <v>38915</v>
      </c>
      <c r="G30" s="37" t="s">
        <v>543</v>
      </c>
      <c r="H30" s="29" t="s">
        <v>292</v>
      </c>
      <c r="I30" s="29" t="s">
        <v>318</v>
      </c>
      <c r="J30" s="33" t="s">
        <v>54</v>
      </c>
      <c r="K30" s="38"/>
      <c r="L30" s="29"/>
      <c r="M30" s="29"/>
      <c r="N30" s="39"/>
    </row>
    <row r="31" spans="1:14" ht="35.1" customHeight="1" x14ac:dyDescent="0.2">
      <c r="A31" s="29" t="s">
        <v>567</v>
      </c>
      <c r="B31" s="29" t="s">
        <v>385</v>
      </c>
      <c r="C31" s="29" t="s">
        <v>266</v>
      </c>
      <c r="D31" s="29"/>
      <c r="E31" s="29"/>
      <c r="F31" s="37">
        <v>38919</v>
      </c>
      <c r="G31" s="37" t="s">
        <v>543</v>
      </c>
      <c r="H31" s="29" t="s">
        <v>511</v>
      </c>
      <c r="I31" s="29" t="s">
        <v>516</v>
      </c>
      <c r="J31" s="33" t="s">
        <v>54</v>
      </c>
      <c r="K31" s="38"/>
      <c r="L31" s="29"/>
      <c r="M31" s="29"/>
      <c r="N31" s="39"/>
    </row>
    <row r="32" spans="1:14" ht="35.1" customHeight="1" x14ac:dyDescent="0.2">
      <c r="A32" s="29" t="s">
        <v>568</v>
      </c>
      <c r="B32" s="29" t="s">
        <v>375</v>
      </c>
      <c r="C32" s="29" t="s">
        <v>260</v>
      </c>
      <c r="D32" s="29"/>
      <c r="E32" s="29"/>
      <c r="F32" s="37">
        <v>39030</v>
      </c>
      <c r="G32" s="37" t="s">
        <v>543</v>
      </c>
      <c r="H32" s="29" t="s">
        <v>292</v>
      </c>
      <c r="I32" s="29" t="s">
        <v>318</v>
      </c>
      <c r="J32" s="33" t="s">
        <v>54</v>
      </c>
      <c r="K32" s="38"/>
      <c r="L32" s="29"/>
      <c r="M32" s="29"/>
      <c r="N32" s="39"/>
    </row>
    <row r="33" spans="1:14" ht="35.1" customHeight="1" x14ac:dyDescent="0.2">
      <c r="A33" s="29" t="s">
        <v>569</v>
      </c>
      <c r="B33" s="29" t="s">
        <v>301</v>
      </c>
      <c r="C33" s="29" t="s">
        <v>270</v>
      </c>
      <c r="D33" s="29"/>
      <c r="E33" s="29"/>
      <c r="F33" s="37">
        <v>41271</v>
      </c>
      <c r="G33" s="37" t="s">
        <v>543</v>
      </c>
      <c r="H33" s="29" t="s">
        <v>512</v>
      </c>
      <c r="I33" s="29" t="s">
        <v>516</v>
      </c>
      <c r="J33" s="33" t="s">
        <v>281</v>
      </c>
      <c r="K33" s="38" t="s">
        <v>281</v>
      </c>
      <c r="L33" s="29">
        <v>1</v>
      </c>
      <c r="M33" s="29">
        <v>2</v>
      </c>
      <c r="N33" s="39">
        <v>3</v>
      </c>
    </row>
    <row r="34" spans="1:14" ht="35.1" customHeight="1" x14ac:dyDescent="0.2">
      <c r="A34" s="29" t="s">
        <v>570</v>
      </c>
      <c r="B34" s="29" t="s">
        <v>7</v>
      </c>
      <c r="C34" s="29" t="s">
        <v>8</v>
      </c>
      <c r="D34" s="29" t="s">
        <v>9</v>
      </c>
      <c r="E34" s="29">
        <v>610802</v>
      </c>
      <c r="F34" s="37">
        <v>42114</v>
      </c>
      <c r="G34" s="37" t="s">
        <v>543</v>
      </c>
      <c r="H34" s="29" t="s">
        <v>292</v>
      </c>
      <c r="I34" s="29" t="s">
        <v>318</v>
      </c>
      <c r="J34" s="33" t="s">
        <v>55</v>
      </c>
      <c r="K34" s="38"/>
      <c r="L34" s="29"/>
      <c r="M34" s="29"/>
      <c r="N34" s="39"/>
    </row>
    <row r="35" spans="1:14" ht="35.1" customHeight="1" x14ac:dyDescent="0.2">
      <c r="A35" s="29" t="s">
        <v>571</v>
      </c>
      <c r="B35" s="29" t="s">
        <v>13</v>
      </c>
      <c r="C35" s="29" t="s">
        <v>14</v>
      </c>
      <c r="D35" s="29" t="s">
        <v>15</v>
      </c>
      <c r="E35" s="29">
        <v>610817</v>
      </c>
      <c r="F35" s="37">
        <v>42170</v>
      </c>
      <c r="G35" s="37" t="s">
        <v>543</v>
      </c>
      <c r="H35" s="29" t="s">
        <v>49</v>
      </c>
      <c r="I35" s="29" t="s">
        <v>516</v>
      </c>
      <c r="J35" s="33" t="s">
        <v>54</v>
      </c>
      <c r="K35" s="38">
        <v>1</v>
      </c>
      <c r="L35" s="29">
        <v>2</v>
      </c>
      <c r="M35" s="29" t="s">
        <v>281</v>
      </c>
      <c r="N35" s="39">
        <v>3</v>
      </c>
    </row>
    <row r="36" spans="1:14" ht="35.1" customHeight="1" x14ac:dyDescent="0.2">
      <c r="A36" s="29" t="s">
        <v>572</v>
      </c>
      <c r="B36" s="29" t="s">
        <v>34</v>
      </c>
      <c r="C36" s="29" t="s">
        <v>35</v>
      </c>
      <c r="D36" s="29" t="s">
        <v>36</v>
      </c>
      <c r="E36" s="29">
        <v>610815</v>
      </c>
      <c r="F36" s="37">
        <v>42170</v>
      </c>
      <c r="G36" s="37" t="s">
        <v>543</v>
      </c>
      <c r="H36" s="29" t="s">
        <v>292</v>
      </c>
      <c r="I36" s="29" t="s">
        <v>318</v>
      </c>
      <c r="J36" s="33" t="s">
        <v>55</v>
      </c>
      <c r="K36" s="38" t="s">
        <v>281</v>
      </c>
      <c r="L36" s="29">
        <v>1</v>
      </c>
      <c r="M36" s="29">
        <v>3</v>
      </c>
      <c r="N36" s="39">
        <v>2</v>
      </c>
    </row>
    <row r="37" spans="1:14" ht="35.1" customHeight="1" x14ac:dyDescent="0.2">
      <c r="A37" s="29" t="s">
        <v>574</v>
      </c>
      <c r="B37" s="29" t="s">
        <v>43</v>
      </c>
      <c r="C37" s="29" t="s">
        <v>41</v>
      </c>
      <c r="D37" s="29"/>
      <c r="E37" s="29">
        <v>312085</v>
      </c>
      <c r="F37" s="37">
        <v>42219</v>
      </c>
      <c r="G37" s="37" t="s">
        <v>543</v>
      </c>
      <c r="H37" s="29" t="s">
        <v>304</v>
      </c>
      <c r="I37" s="29" t="s">
        <v>516</v>
      </c>
      <c r="J37" s="33" t="s">
        <v>54</v>
      </c>
      <c r="K37" s="38">
        <v>1</v>
      </c>
      <c r="L37" s="29">
        <v>2</v>
      </c>
      <c r="M37" s="29">
        <v>3</v>
      </c>
      <c r="N37" s="39" t="s">
        <v>281</v>
      </c>
    </row>
    <row r="38" spans="1:14" ht="35.1" customHeight="1" x14ac:dyDescent="0.2">
      <c r="A38" s="29" t="s">
        <v>575</v>
      </c>
      <c r="B38" s="29" t="s">
        <v>44</v>
      </c>
      <c r="C38" s="29" t="s">
        <v>42</v>
      </c>
      <c r="D38" s="29"/>
      <c r="E38" s="29">
        <v>610822</v>
      </c>
      <c r="F38" s="37">
        <v>42219</v>
      </c>
      <c r="G38" s="37" t="s">
        <v>543</v>
      </c>
      <c r="H38" s="29" t="s">
        <v>49</v>
      </c>
      <c r="I38" s="29" t="s">
        <v>516</v>
      </c>
      <c r="J38" s="33" t="s">
        <v>54</v>
      </c>
      <c r="K38" s="38">
        <v>1</v>
      </c>
      <c r="L38" s="29">
        <v>2</v>
      </c>
      <c r="M38" s="29" t="s">
        <v>281</v>
      </c>
      <c r="N38" s="39">
        <v>3</v>
      </c>
    </row>
    <row r="39" spans="1:14" ht="35.1" customHeight="1" x14ac:dyDescent="0.2">
      <c r="A39" s="29" t="s">
        <v>573</v>
      </c>
      <c r="B39" s="29" t="s">
        <v>64</v>
      </c>
      <c r="C39" s="29" t="s">
        <v>40</v>
      </c>
      <c r="D39" s="29"/>
      <c r="E39" s="29">
        <v>610824</v>
      </c>
      <c r="F39" s="37">
        <v>42219</v>
      </c>
      <c r="G39" s="37" t="s">
        <v>543</v>
      </c>
      <c r="H39" s="29" t="s">
        <v>292</v>
      </c>
      <c r="I39" s="29" t="s">
        <v>318</v>
      </c>
      <c r="J39" s="33" t="s">
        <v>55</v>
      </c>
      <c r="K39" s="38">
        <v>1</v>
      </c>
      <c r="L39" s="29">
        <v>2</v>
      </c>
      <c r="M39" s="29" t="s">
        <v>281</v>
      </c>
      <c r="N39" s="39">
        <v>3</v>
      </c>
    </row>
    <row r="40" spans="1:14" ht="35.1" customHeight="1" x14ac:dyDescent="0.2">
      <c r="A40" s="29" t="s">
        <v>576</v>
      </c>
      <c r="B40" s="29" t="s">
        <v>57</v>
      </c>
      <c r="C40" s="29" t="s">
        <v>58</v>
      </c>
      <c r="D40" s="29"/>
      <c r="E40" s="29">
        <v>610833</v>
      </c>
      <c r="F40" s="37">
        <v>42233</v>
      </c>
      <c r="G40" s="37" t="s">
        <v>543</v>
      </c>
      <c r="H40" s="29" t="s">
        <v>49</v>
      </c>
      <c r="I40" s="29" t="s">
        <v>516</v>
      </c>
      <c r="J40" s="33" t="s">
        <v>54</v>
      </c>
      <c r="K40" s="38"/>
      <c r="L40" s="29"/>
      <c r="M40" s="29"/>
      <c r="N40" s="39"/>
    </row>
    <row r="41" spans="1:14" ht="35.1" customHeight="1" x14ac:dyDescent="0.2">
      <c r="A41" s="29" t="s">
        <v>577</v>
      </c>
      <c r="B41" s="29" t="s">
        <v>46</v>
      </c>
      <c r="C41" s="29" t="s">
        <v>45</v>
      </c>
      <c r="D41" s="29"/>
      <c r="E41" s="29">
        <v>610828</v>
      </c>
      <c r="F41" s="37">
        <v>42233</v>
      </c>
      <c r="G41" s="37" t="s">
        <v>543</v>
      </c>
      <c r="H41" s="29" t="s">
        <v>51</v>
      </c>
      <c r="I41" s="29" t="s">
        <v>516</v>
      </c>
      <c r="J41" s="33" t="s">
        <v>293</v>
      </c>
      <c r="K41" s="38" t="s">
        <v>281</v>
      </c>
      <c r="L41" s="48">
        <v>1</v>
      </c>
      <c r="M41" s="29">
        <v>3</v>
      </c>
      <c r="N41" s="39">
        <v>2</v>
      </c>
    </row>
    <row r="42" spans="1:14" ht="35.1" customHeight="1" x14ac:dyDescent="0.2">
      <c r="A42" s="29" t="s">
        <v>578</v>
      </c>
      <c r="B42" s="29" t="s">
        <v>59</v>
      </c>
      <c r="C42" s="29" t="s">
        <v>58</v>
      </c>
      <c r="D42" s="29"/>
      <c r="E42" s="29">
        <v>610629</v>
      </c>
      <c r="F42" s="37">
        <v>42233</v>
      </c>
      <c r="G42" s="37" t="s">
        <v>543</v>
      </c>
      <c r="H42" s="29" t="s">
        <v>331</v>
      </c>
      <c r="I42" s="29" t="s">
        <v>516</v>
      </c>
      <c r="J42" s="33" t="s">
        <v>54</v>
      </c>
      <c r="K42" s="38"/>
      <c r="L42" s="29"/>
      <c r="M42" s="29"/>
      <c r="N42" s="39"/>
    </row>
    <row r="43" spans="1:14" ht="35.1" customHeight="1" x14ac:dyDescent="0.2">
      <c r="A43" s="45" t="s">
        <v>579</v>
      </c>
      <c r="B43" s="43" t="s">
        <v>291</v>
      </c>
      <c r="C43" s="43" t="s">
        <v>273</v>
      </c>
      <c r="D43" s="43"/>
      <c r="E43" s="43">
        <v>610832</v>
      </c>
      <c r="F43" s="44">
        <v>42255</v>
      </c>
      <c r="G43" s="44" t="s">
        <v>543</v>
      </c>
      <c r="H43" s="43" t="s">
        <v>51</v>
      </c>
      <c r="I43" s="43" t="s">
        <v>516</v>
      </c>
      <c r="J43" s="45" t="s">
        <v>293</v>
      </c>
      <c r="K43" s="46">
        <v>3</v>
      </c>
      <c r="L43" s="43">
        <v>2</v>
      </c>
      <c r="M43" s="43">
        <v>1</v>
      </c>
      <c r="N43" s="47" t="s">
        <v>281</v>
      </c>
    </row>
    <row r="44" spans="1:14" ht="35.1" customHeight="1" x14ac:dyDescent="0.2">
      <c r="A44" s="29" t="s">
        <v>580</v>
      </c>
      <c r="B44" s="29" t="s">
        <v>274</v>
      </c>
      <c r="C44" s="29" t="s">
        <v>275</v>
      </c>
      <c r="D44" s="29"/>
      <c r="E44" s="29">
        <v>610826</v>
      </c>
      <c r="F44" s="37">
        <v>42255</v>
      </c>
      <c r="G44" s="37" t="s">
        <v>543</v>
      </c>
      <c r="H44" s="29" t="s">
        <v>292</v>
      </c>
      <c r="I44" s="29" t="s">
        <v>318</v>
      </c>
      <c r="J44" s="33" t="s">
        <v>55</v>
      </c>
      <c r="K44" s="38">
        <v>1</v>
      </c>
      <c r="L44" s="29">
        <v>2</v>
      </c>
      <c r="M44" s="29">
        <v>3</v>
      </c>
      <c r="N44" s="39"/>
    </row>
    <row r="45" spans="1:14" ht="35.1" customHeight="1" x14ac:dyDescent="0.2">
      <c r="A45" s="29" t="s">
        <v>582</v>
      </c>
      <c r="B45" s="29" t="s">
        <v>283</v>
      </c>
      <c r="C45" s="29" t="s">
        <v>285</v>
      </c>
      <c r="D45" s="29"/>
      <c r="E45" s="29"/>
      <c r="F45" s="37">
        <v>42282</v>
      </c>
      <c r="G45" s="37" t="s">
        <v>543</v>
      </c>
      <c r="H45" s="29" t="s">
        <v>50</v>
      </c>
      <c r="I45" s="29" t="s">
        <v>516</v>
      </c>
      <c r="J45" s="33" t="s">
        <v>55</v>
      </c>
      <c r="K45" s="38">
        <v>1</v>
      </c>
      <c r="L45" s="29" t="s">
        <v>281</v>
      </c>
      <c r="M45" s="49">
        <v>2</v>
      </c>
      <c r="N45" s="39">
        <v>3</v>
      </c>
    </row>
    <row r="46" spans="1:14" ht="35.1" customHeight="1" x14ac:dyDescent="0.2">
      <c r="A46" s="29" t="s">
        <v>583</v>
      </c>
      <c r="B46" s="29" t="s">
        <v>286</v>
      </c>
      <c r="C46" s="29" t="s">
        <v>287</v>
      </c>
      <c r="D46" s="29"/>
      <c r="E46" s="29">
        <v>610839</v>
      </c>
      <c r="F46" s="37">
        <v>42282</v>
      </c>
      <c r="G46" s="37" t="s">
        <v>543</v>
      </c>
      <c r="H46" s="29" t="s">
        <v>50</v>
      </c>
      <c r="I46" s="29" t="s">
        <v>516</v>
      </c>
      <c r="J46" s="33" t="s">
        <v>293</v>
      </c>
      <c r="K46" s="38">
        <v>1</v>
      </c>
      <c r="L46" s="49">
        <v>3</v>
      </c>
      <c r="M46" s="29"/>
      <c r="N46" s="39"/>
    </row>
    <row r="47" spans="1:14" ht="35.1" customHeight="1" x14ac:dyDescent="0.2">
      <c r="A47" s="29" t="s">
        <v>584</v>
      </c>
      <c r="B47" s="29" t="s">
        <v>290</v>
      </c>
      <c r="C47" s="29" t="s">
        <v>268</v>
      </c>
      <c r="D47" s="29"/>
      <c r="E47" s="29">
        <v>601843</v>
      </c>
      <c r="F47" s="37">
        <v>42282</v>
      </c>
      <c r="G47" s="37" t="s">
        <v>543</v>
      </c>
      <c r="H47" s="29" t="s">
        <v>50</v>
      </c>
      <c r="I47" s="29" t="s">
        <v>516</v>
      </c>
      <c r="J47" s="33" t="s">
        <v>55</v>
      </c>
      <c r="K47" s="38">
        <v>1</v>
      </c>
      <c r="L47" s="29">
        <v>1</v>
      </c>
      <c r="M47" s="49">
        <v>2</v>
      </c>
      <c r="N47" s="39">
        <v>3</v>
      </c>
    </row>
    <row r="48" spans="1:14" ht="35.1" customHeight="1" x14ac:dyDescent="0.2">
      <c r="A48" s="29" t="s">
        <v>581</v>
      </c>
      <c r="B48" s="29" t="s">
        <v>282</v>
      </c>
      <c r="C48" s="29" t="s">
        <v>284</v>
      </c>
      <c r="D48" s="29"/>
      <c r="E48" s="29">
        <v>610840</v>
      </c>
      <c r="F48" s="37">
        <v>42282</v>
      </c>
      <c r="G48" s="37" t="s">
        <v>543</v>
      </c>
      <c r="H48" s="29" t="s">
        <v>292</v>
      </c>
      <c r="I48" s="29" t="s">
        <v>318</v>
      </c>
      <c r="J48" s="33" t="s">
        <v>54</v>
      </c>
      <c r="K48" s="38"/>
      <c r="L48" s="29"/>
      <c r="M48" s="29"/>
      <c r="N48" s="39"/>
    </row>
    <row r="49" spans="1:14" ht="35.1" customHeight="1" x14ac:dyDescent="0.2">
      <c r="A49" s="29" t="s">
        <v>585</v>
      </c>
      <c r="B49" s="29" t="s">
        <v>288</v>
      </c>
      <c r="C49" s="29" t="s">
        <v>289</v>
      </c>
      <c r="D49" s="29"/>
      <c r="E49" s="29"/>
      <c r="F49" s="37">
        <v>42290</v>
      </c>
      <c r="G49" s="37" t="s">
        <v>543</v>
      </c>
      <c r="H49" s="29" t="s">
        <v>51</v>
      </c>
      <c r="I49" s="29" t="s">
        <v>516</v>
      </c>
      <c r="J49" s="33" t="s">
        <v>55</v>
      </c>
      <c r="K49" s="50">
        <v>2</v>
      </c>
      <c r="L49" s="29">
        <v>1</v>
      </c>
      <c r="M49" s="29">
        <v>3</v>
      </c>
      <c r="N49" s="39" t="s">
        <v>281</v>
      </c>
    </row>
    <row r="50" spans="1:14" ht="35.1" customHeight="1" x14ac:dyDescent="0.2">
      <c r="A50" s="29" t="s">
        <v>586</v>
      </c>
      <c r="B50" s="29" t="s">
        <v>294</v>
      </c>
      <c r="C50" s="29" t="s">
        <v>295</v>
      </c>
      <c r="D50" s="29"/>
      <c r="E50" s="29"/>
      <c r="F50" s="37">
        <v>42296</v>
      </c>
      <c r="G50" s="37" t="s">
        <v>543</v>
      </c>
      <c r="H50" s="29" t="s">
        <v>50</v>
      </c>
      <c r="I50" s="29" t="s">
        <v>516</v>
      </c>
      <c r="J50" s="33" t="s">
        <v>293</v>
      </c>
      <c r="K50" s="38">
        <v>1</v>
      </c>
      <c r="L50" s="49">
        <v>3</v>
      </c>
      <c r="M50" s="29" t="s">
        <v>281</v>
      </c>
      <c r="N50" s="39"/>
    </row>
    <row r="51" spans="1:14" ht="35.1" customHeight="1" x14ac:dyDescent="0.2">
      <c r="A51" s="45" t="s">
        <v>587</v>
      </c>
      <c r="B51" s="43" t="s">
        <v>296</v>
      </c>
      <c r="C51" s="43" t="s">
        <v>63</v>
      </c>
      <c r="D51" s="43"/>
      <c r="E51" s="43"/>
      <c r="F51" s="44">
        <v>42296</v>
      </c>
      <c r="G51" s="44" t="s">
        <v>543</v>
      </c>
      <c r="H51" s="43" t="s">
        <v>317</v>
      </c>
      <c r="I51" s="43" t="s">
        <v>516</v>
      </c>
      <c r="J51" s="45" t="s">
        <v>293</v>
      </c>
      <c r="K51" s="46">
        <v>3</v>
      </c>
      <c r="L51" s="43">
        <v>1</v>
      </c>
      <c r="M51" s="43" t="s">
        <v>281</v>
      </c>
      <c r="N51" s="47">
        <v>2</v>
      </c>
    </row>
    <row r="52" spans="1:14" ht="35.1" customHeight="1" x14ac:dyDescent="0.2">
      <c r="A52" s="29" t="s">
        <v>588</v>
      </c>
      <c r="B52" s="29" t="s">
        <v>297</v>
      </c>
      <c r="C52" s="29" t="s">
        <v>45</v>
      </c>
      <c r="D52" s="29"/>
      <c r="E52" s="29"/>
      <c r="F52" s="37">
        <v>42296</v>
      </c>
      <c r="G52" s="37" t="s">
        <v>543</v>
      </c>
      <c r="H52" s="29" t="s">
        <v>50</v>
      </c>
      <c r="I52" s="29" t="s">
        <v>516</v>
      </c>
      <c r="J52" s="33" t="s">
        <v>293</v>
      </c>
      <c r="K52" s="38">
        <v>1</v>
      </c>
      <c r="L52" s="53">
        <v>2</v>
      </c>
      <c r="M52" s="29" t="s">
        <v>281</v>
      </c>
      <c r="N52" s="39">
        <v>1</v>
      </c>
    </row>
    <row r="53" spans="1:14" ht="35.1" customHeight="1" x14ac:dyDescent="0.2">
      <c r="A53" s="29" t="s">
        <v>589</v>
      </c>
      <c r="B53" s="29" t="s">
        <v>302</v>
      </c>
      <c r="C53" s="29" t="s">
        <v>303</v>
      </c>
      <c r="D53" s="29"/>
      <c r="E53" s="29"/>
      <c r="F53" s="37">
        <v>42298</v>
      </c>
      <c r="G53" s="37" t="s">
        <v>543</v>
      </c>
      <c r="H53" s="29" t="s">
        <v>51</v>
      </c>
      <c r="I53" s="29" t="s">
        <v>516</v>
      </c>
      <c r="J53" s="33" t="s">
        <v>293</v>
      </c>
      <c r="K53" s="38" t="s">
        <v>281</v>
      </c>
      <c r="L53" s="51">
        <v>3</v>
      </c>
      <c r="M53" s="29">
        <v>1</v>
      </c>
      <c r="N53" s="39"/>
    </row>
    <row r="54" spans="1:14" ht="35.1" customHeight="1" x14ac:dyDescent="0.2">
      <c r="A54" s="29" t="s">
        <v>590</v>
      </c>
      <c r="B54" s="29" t="s">
        <v>298</v>
      </c>
      <c r="C54" s="29" t="s">
        <v>66</v>
      </c>
      <c r="D54" s="29"/>
      <c r="E54" s="29"/>
      <c r="F54" s="37">
        <v>42298</v>
      </c>
      <c r="G54" s="37" t="s">
        <v>543</v>
      </c>
      <c r="H54" s="29" t="s">
        <v>50</v>
      </c>
      <c r="I54" s="29" t="s">
        <v>516</v>
      </c>
      <c r="J54" s="33" t="s">
        <v>293</v>
      </c>
      <c r="K54" s="38">
        <v>1</v>
      </c>
      <c r="L54" s="51">
        <v>3</v>
      </c>
      <c r="M54" s="29" t="s">
        <v>281</v>
      </c>
      <c r="N54" s="39">
        <v>2</v>
      </c>
    </row>
    <row r="55" spans="1:14" ht="35.1" customHeight="1" x14ac:dyDescent="0.2">
      <c r="A55" s="29" t="s">
        <v>592</v>
      </c>
      <c r="B55" s="29" t="s">
        <v>258</v>
      </c>
      <c r="C55" s="29" t="s">
        <v>40</v>
      </c>
      <c r="D55" s="29"/>
      <c r="E55" s="29"/>
      <c r="F55" s="37">
        <v>42298</v>
      </c>
      <c r="G55" s="37" t="s">
        <v>543</v>
      </c>
      <c r="H55" s="29" t="s">
        <v>292</v>
      </c>
      <c r="I55" s="29" t="s">
        <v>524</v>
      </c>
      <c r="J55" s="33" t="s">
        <v>55</v>
      </c>
      <c r="K55" s="38"/>
      <c r="L55" s="29"/>
      <c r="M55" s="29"/>
      <c r="N55" s="39"/>
    </row>
    <row r="56" spans="1:14" ht="35.1" customHeight="1" x14ac:dyDescent="0.2">
      <c r="A56" s="29" t="s">
        <v>591</v>
      </c>
      <c r="B56" s="29" t="s">
        <v>299</v>
      </c>
      <c r="C56" s="29" t="s">
        <v>300</v>
      </c>
      <c r="D56" s="29"/>
      <c r="E56" s="29"/>
      <c r="F56" s="37">
        <v>42298</v>
      </c>
      <c r="G56" s="37" t="s">
        <v>543</v>
      </c>
      <c r="H56" s="29" t="s">
        <v>292</v>
      </c>
      <c r="I56" s="29" t="s">
        <v>318</v>
      </c>
      <c r="J56" s="33" t="s">
        <v>55</v>
      </c>
      <c r="K56" s="38">
        <v>1</v>
      </c>
      <c r="L56" s="29">
        <v>2</v>
      </c>
      <c r="M56" s="29" t="s">
        <v>281</v>
      </c>
      <c r="N56" s="39">
        <v>3</v>
      </c>
    </row>
    <row r="57" spans="1:14" ht="35.1" customHeight="1" x14ac:dyDescent="0.2">
      <c r="A57" s="29" t="s">
        <v>628</v>
      </c>
      <c r="B57" s="29" t="s">
        <v>306</v>
      </c>
      <c r="C57" s="29" t="s">
        <v>305</v>
      </c>
      <c r="D57" s="29"/>
      <c r="E57" s="29"/>
      <c r="F57" s="37">
        <v>42303</v>
      </c>
      <c r="G57" s="37" t="s">
        <v>543</v>
      </c>
      <c r="H57" s="29" t="s">
        <v>443</v>
      </c>
      <c r="I57" s="29" t="s">
        <v>516</v>
      </c>
      <c r="J57" s="33" t="s">
        <v>55</v>
      </c>
      <c r="K57" s="38">
        <v>1</v>
      </c>
      <c r="L57" s="53">
        <v>2</v>
      </c>
      <c r="M57" s="29">
        <v>3</v>
      </c>
      <c r="N57" s="39" t="s">
        <v>281</v>
      </c>
    </row>
    <row r="58" spans="1:14" ht="35.1" customHeight="1" x14ac:dyDescent="0.2">
      <c r="A58" s="29" t="s">
        <v>629</v>
      </c>
      <c r="B58" s="29" t="s">
        <v>307</v>
      </c>
      <c r="C58" s="29" t="s">
        <v>258</v>
      </c>
      <c r="D58" s="29"/>
      <c r="E58" s="29"/>
      <c r="F58" s="37">
        <v>42303</v>
      </c>
      <c r="G58" s="37" t="s">
        <v>543</v>
      </c>
      <c r="H58" s="29" t="s">
        <v>507</v>
      </c>
      <c r="I58" s="29" t="s">
        <v>516</v>
      </c>
      <c r="J58" s="33" t="s">
        <v>293</v>
      </c>
      <c r="K58" s="38">
        <v>1</v>
      </c>
      <c r="L58" s="51">
        <v>3</v>
      </c>
      <c r="M58" s="29" t="s">
        <v>281</v>
      </c>
      <c r="N58" s="39">
        <v>2</v>
      </c>
    </row>
    <row r="59" spans="1:14" ht="35.1" customHeight="1" x14ac:dyDescent="0.2">
      <c r="A59" s="29" t="s">
        <v>624</v>
      </c>
      <c r="B59" s="29" t="s">
        <v>310</v>
      </c>
      <c r="C59" s="29" t="s">
        <v>309</v>
      </c>
      <c r="D59" s="29"/>
      <c r="E59" s="29"/>
      <c r="F59" s="37">
        <v>42303</v>
      </c>
      <c r="G59" s="37" t="s">
        <v>543</v>
      </c>
      <c r="H59" s="29" t="s">
        <v>51</v>
      </c>
      <c r="I59" s="29" t="s">
        <v>516</v>
      </c>
      <c r="J59" s="33" t="s">
        <v>55</v>
      </c>
      <c r="K59" s="38">
        <v>1</v>
      </c>
      <c r="L59" s="53">
        <v>2</v>
      </c>
      <c r="M59" s="29">
        <v>3</v>
      </c>
      <c r="N59" s="39"/>
    </row>
    <row r="60" spans="1:14" ht="35.1" customHeight="1" x14ac:dyDescent="0.2">
      <c r="A60" s="29" t="s">
        <v>653</v>
      </c>
      <c r="B60" s="29"/>
      <c r="C60" s="29"/>
      <c r="D60" s="29"/>
      <c r="E60" s="29"/>
      <c r="F60" s="37">
        <v>42303</v>
      </c>
      <c r="G60" s="37"/>
      <c r="H60" s="48" t="s">
        <v>646</v>
      </c>
      <c r="I60" s="29" t="s">
        <v>516</v>
      </c>
      <c r="J60" s="33" t="s">
        <v>293</v>
      </c>
      <c r="K60" s="38">
        <v>1</v>
      </c>
      <c r="L60" s="29" t="s">
        <v>281</v>
      </c>
      <c r="M60" s="51">
        <v>3</v>
      </c>
      <c r="N60" s="39"/>
    </row>
    <row r="61" spans="1:14" ht="35.1" customHeight="1" x14ac:dyDescent="0.2">
      <c r="A61" s="29" t="s">
        <v>654</v>
      </c>
      <c r="B61" s="29"/>
      <c r="C61" s="29"/>
      <c r="D61" s="29"/>
      <c r="E61" s="29"/>
      <c r="F61" s="37">
        <v>42303</v>
      </c>
      <c r="G61" s="37"/>
      <c r="H61" s="48" t="s">
        <v>646</v>
      </c>
      <c r="I61" s="29" t="s">
        <v>318</v>
      </c>
      <c r="J61" s="33" t="s">
        <v>293</v>
      </c>
      <c r="K61" s="38">
        <v>1</v>
      </c>
      <c r="L61" s="29">
        <v>3</v>
      </c>
      <c r="M61" s="29">
        <v>2</v>
      </c>
      <c r="N61" s="39" t="s">
        <v>281</v>
      </c>
    </row>
    <row r="62" spans="1:14" ht="35.1" customHeight="1" x14ac:dyDescent="0.2">
      <c r="A62" s="29" t="s">
        <v>593</v>
      </c>
      <c r="B62" s="29" t="s">
        <v>308</v>
      </c>
      <c r="C62" s="29" t="s">
        <v>305</v>
      </c>
      <c r="D62" s="29"/>
      <c r="E62" s="29"/>
      <c r="F62" s="37">
        <v>42303</v>
      </c>
      <c r="G62" s="37" t="s">
        <v>543</v>
      </c>
      <c r="H62" s="29" t="s">
        <v>292</v>
      </c>
      <c r="I62" s="29" t="s">
        <v>524</v>
      </c>
      <c r="J62" s="33" t="s">
        <v>293</v>
      </c>
      <c r="K62" s="38"/>
      <c r="L62" s="29"/>
      <c r="M62" s="29"/>
      <c r="N62" s="39"/>
    </row>
    <row r="63" spans="1:14" ht="35.1" customHeight="1" x14ac:dyDescent="0.2">
      <c r="A63" s="29" t="s">
        <v>623</v>
      </c>
      <c r="B63" s="29" t="s">
        <v>433</v>
      </c>
      <c r="C63" s="29" t="s">
        <v>313</v>
      </c>
      <c r="D63" s="29"/>
      <c r="E63" s="29"/>
      <c r="F63" s="37">
        <v>42305</v>
      </c>
      <c r="G63" s="37" t="s">
        <v>543</v>
      </c>
      <c r="H63" s="29" t="s">
        <v>507</v>
      </c>
      <c r="I63" s="29" t="s">
        <v>516</v>
      </c>
      <c r="J63" s="33" t="s">
        <v>55</v>
      </c>
      <c r="K63" s="38">
        <v>1</v>
      </c>
      <c r="L63" s="53">
        <v>2</v>
      </c>
      <c r="M63" s="29">
        <v>3</v>
      </c>
      <c r="N63" s="39" t="s">
        <v>281</v>
      </c>
    </row>
    <row r="64" spans="1:14" ht="35.1" customHeight="1" x14ac:dyDescent="0.2">
      <c r="A64" s="29" t="s">
        <v>649</v>
      </c>
      <c r="B64" s="29"/>
      <c r="C64" s="29"/>
      <c r="D64" s="29"/>
      <c r="E64" s="29"/>
      <c r="F64" s="37">
        <v>42305</v>
      </c>
      <c r="G64" s="37"/>
      <c r="H64" s="48" t="s">
        <v>646</v>
      </c>
      <c r="I64" s="29" t="s">
        <v>516</v>
      </c>
      <c r="J64" s="33" t="s">
        <v>293</v>
      </c>
      <c r="K64" s="38">
        <v>1</v>
      </c>
      <c r="L64" s="51">
        <v>3</v>
      </c>
      <c r="M64" s="29">
        <v>2</v>
      </c>
      <c r="N64" s="39"/>
    </row>
    <row r="65" spans="1:15" ht="35.1" customHeight="1" x14ac:dyDescent="0.2">
      <c r="A65" s="29" t="s">
        <v>627</v>
      </c>
      <c r="B65" s="29" t="s">
        <v>312</v>
      </c>
      <c r="C65" s="29" t="s">
        <v>61</v>
      </c>
      <c r="D65" s="29"/>
      <c r="E65" s="29"/>
      <c r="F65" s="37">
        <v>42305</v>
      </c>
      <c r="G65" s="37" t="s">
        <v>543</v>
      </c>
      <c r="H65" s="29" t="s">
        <v>292</v>
      </c>
      <c r="I65" s="29" t="s">
        <v>318</v>
      </c>
      <c r="J65" s="33" t="s">
        <v>55</v>
      </c>
      <c r="K65" s="38"/>
      <c r="L65" s="29"/>
      <c r="M65" s="29"/>
      <c r="N65" s="39"/>
    </row>
    <row r="66" spans="1:15" ht="35.1" customHeight="1" x14ac:dyDescent="0.2">
      <c r="A66" s="29" t="s">
        <v>594</v>
      </c>
      <c r="B66" s="29" t="s">
        <v>314</v>
      </c>
      <c r="C66" s="29" t="s">
        <v>315</v>
      </c>
      <c r="D66" s="29"/>
      <c r="E66" s="29"/>
      <c r="F66" s="37">
        <v>42310</v>
      </c>
      <c r="G66" s="37" t="s">
        <v>543</v>
      </c>
      <c r="H66" s="29" t="s">
        <v>51</v>
      </c>
      <c r="I66" s="29" t="s">
        <v>516</v>
      </c>
      <c r="J66" s="33" t="s">
        <v>55</v>
      </c>
      <c r="K66" s="38">
        <v>1</v>
      </c>
      <c r="L66" s="29" t="s">
        <v>281</v>
      </c>
      <c r="M66" s="53">
        <v>2</v>
      </c>
      <c r="N66" s="39">
        <v>3</v>
      </c>
    </row>
    <row r="67" spans="1:15" ht="35.1" customHeight="1" x14ac:dyDescent="0.2">
      <c r="A67" s="29" t="s">
        <v>595</v>
      </c>
      <c r="B67" s="29" t="s">
        <v>316</v>
      </c>
      <c r="C67" s="29" t="s">
        <v>285</v>
      </c>
      <c r="D67" s="29"/>
      <c r="E67" s="29"/>
      <c r="F67" s="37">
        <v>42310</v>
      </c>
      <c r="G67" s="37" t="s">
        <v>543</v>
      </c>
      <c r="H67" s="29" t="s">
        <v>317</v>
      </c>
      <c r="I67" s="29" t="s">
        <v>516</v>
      </c>
      <c r="J67" s="33" t="s">
        <v>55</v>
      </c>
      <c r="K67" s="54">
        <v>2</v>
      </c>
      <c r="L67" s="29">
        <v>3</v>
      </c>
      <c r="M67" s="29">
        <v>1</v>
      </c>
      <c r="N67" s="39" t="s">
        <v>281</v>
      </c>
    </row>
    <row r="68" spans="1:15" ht="35.1" customHeight="1" x14ac:dyDescent="0.2">
      <c r="A68" s="29" t="s">
        <v>650</v>
      </c>
      <c r="B68" s="29"/>
      <c r="C68" s="29"/>
      <c r="D68" s="29"/>
      <c r="E68" s="29"/>
      <c r="F68" s="37">
        <v>42317</v>
      </c>
      <c r="G68" s="37"/>
      <c r="H68" s="48" t="s">
        <v>646</v>
      </c>
      <c r="I68" s="29" t="s">
        <v>516</v>
      </c>
      <c r="J68" s="33" t="s">
        <v>293</v>
      </c>
      <c r="K68" s="52">
        <v>3</v>
      </c>
      <c r="L68" s="29"/>
      <c r="M68" s="29"/>
      <c r="N68" s="39"/>
    </row>
    <row r="69" spans="1:15" ht="35.1" customHeight="1" x14ac:dyDescent="0.2">
      <c r="A69" s="29" t="s">
        <v>596</v>
      </c>
      <c r="B69" s="29" t="s">
        <v>383</v>
      </c>
      <c r="C69" s="29" t="s">
        <v>324</v>
      </c>
      <c r="D69" s="29"/>
      <c r="E69" s="29"/>
      <c r="F69" s="37">
        <v>42319</v>
      </c>
      <c r="G69" s="37" t="s">
        <v>543</v>
      </c>
      <c r="H69" s="29" t="s">
        <v>50</v>
      </c>
      <c r="I69" s="29" t="s">
        <v>516</v>
      </c>
      <c r="J69" s="33" t="s">
        <v>55</v>
      </c>
      <c r="K69" s="38">
        <v>1</v>
      </c>
      <c r="L69" s="53">
        <v>2</v>
      </c>
      <c r="M69" s="29">
        <v>3</v>
      </c>
      <c r="N69" s="39" t="s">
        <v>281</v>
      </c>
    </row>
    <row r="70" spans="1:15" ht="35.1" customHeight="1" x14ac:dyDescent="0.2">
      <c r="A70" s="29" t="s">
        <v>597</v>
      </c>
      <c r="B70" s="29" t="s">
        <v>328</v>
      </c>
      <c r="C70" s="29" t="s">
        <v>284</v>
      </c>
      <c r="D70" s="29"/>
      <c r="E70" s="29"/>
      <c r="F70" s="37">
        <v>42319</v>
      </c>
      <c r="G70" s="37" t="s">
        <v>543</v>
      </c>
      <c r="H70" s="29" t="s">
        <v>52</v>
      </c>
      <c r="I70" s="29" t="s">
        <v>516</v>
      </c>
      <c r="J70" s="33" t="s">
        <v>293</v>
      </c>
      <c r="K70" s="38" t="s">
        <v>281</v>
      </c>
      <c r="L70" s="29">
        <v>1</v>
      </c>
      <c r="M70" s="51">
        <v>3</v>
      </c>
      <c r="N70" s="39"/>
    </row>
    <row r="71" spans="1:15" ht="35.1" customHeight="1" x14ac:dyDescent="0.2">
      <c r="A71" s="29" t="s">
        <v>598</v>
      </c>
      <c r="B71" s="29" t="s">
        <v>325</v>
      </c>
      <c r="C71" s="29" t="s">
        <v>326</v>
      </c>
      <c r="D71" s="29"/>
      <c r="E71" s="29"/>
      <c r="F71" s="37">
        <v>42319</v>
      </c>
      <c r="G71" s="37" t="s">
        <v>543</v>
      </c>
      <c r="H71" s="29" t="s">
        <v>50</v>
      </c>
      <c r="I71" s="29" t="s">
        <v>516</v>
      </c>
      <c r="J71" s="33" t="s">
        <v>55</v>
      </c>
      <c r="K71" s="38">
        <v>1</v>
      </c>
      <c r="L71" s="53">
        <v>2</v>
      </c>
      <c r="M71" s="29" t="s">
        <v>281</v>
      </c>
      <c r="N71" s="39">
        <v>3</v>
      </c>
    </row>
    <row r="72" spans="1:15" ht="35.1" customHeight="1" x14ac:dyDescent="0.2">
      <c r="A72" s="29" t="s">
        <v>599</v>
      </c>
      <c r="B72" s="29" t="s">
        <v>329</v>
      </c>
      <c r="C72" s="29" t="s">
        <v>330</v>
      </c>
      <c r="D72" s="29"/>
      <c r="E72" s="29"/>
      <c r="F72" s="37">
        <v>42319</v>
      </c>
      <c r="G72" s="37" t="s">
        <v>543</v>
      </c>
      <c r="H72" s="29" t="s">
        <v>311</v>
      </c>
      <c r="I72" s="29" t="s">
        <v>516</v>
      </c>
      <c r="J72" s="33" t="s">
        <v>293</v>
      </c>
      <c r="K72" s="38" t="s">
        <v>281</v>
      </c>
      <c r="L72" s="29" t="s">
        <v>281</v>
      </c>
      <c r="M72" s="29">
        <v>1</v>
      </c>
      <c r="N72" s="55">
        <v>3</v>
      </c>
      <c r="O72" s="56" t="s">
        <v>656</v>
      </c>
    </row>
    <row r="73" spans="1:15" ht="35.1" customHeight="1" x14ac:dyDescent="0.2">
      <c r="A73" s="29" t="s">
        <v>601</v>
      </c>
      <c r="B73" s="29" t="s">
        <v>323</v>
      </c>
      <c r="C73" s="29" t="s">
        <v>61</v>
      </c>
      <c r="D73" s="29"/>
      <c r="E73" s="29"/>
      <c r="F73" s="37">
        <v>42319</v>
      </c>
      <c r="G73" s="37" t="s">
        <v>543</v>
      </c>
      <c r="H73" s="29" t="s">
        <v>50</v>
      </c>
      <c r="I73" s="29" t="s">
        <v>516</v>
      </c>
      <c r="J73" s="33" t="s">
        <v>293</v>
      </c>
      <c r="K73" s="38">
        <v>1</v>
      </c>
      <c r="L73" s="51">
        <v>3</v>
      </c>
      <c r="M73" s="29" t="s">
        <v>281</v>
      </c>
      <c r="N73" s="39">
        <v>2</v>
      </c>
    </row>
    <row r="74" spans="1:15" ht="35.1" customHeight="1" x14ac:dyDescent="0.2">
      <c r="A74" s="29" t="s">
        <v>644</v>
      </c>
      <c r="B74" s="29" t="s">
        <v>321</v>
      </c>
      <c r="C74" s="29" t="s">
        <v>322</v>
      </c>
      <c r="D74" s="29"/>
      <c r="E74" s="29"/>
      <c r="F74" s="37">
        <v>42319</v>
      </c>
      <c r="G74" s="37" t="s">
        <v>543</v>
      </c>
      <c r="H74" s="29" t="s">
        <v>52</v>
      </c>
      <c r="I74" s="29" t="s">
        <v>516</v>
      </c>
      <c r="J74" s="33" t="s">
        <v>55</v>
      </c>
      <c r="K74" s="54">
        <v>2</v>
      </c>
      <c r="L74" s="29">
        <v>3</v>
      </c>
      <c r="M74" s="29" t="s">
        <v>281</v>
      </c>
      <c r="N74" s="39">
        <v>1</v>
      </c>
    </row>
    <row r="75" spans="1:15" ht="35.1" customHeight="1" x14ac:dyDescent="0.2">
      <c r="A75" s="29" t="s">
        <v>600</v>
      </c>
      <c r="B75" s="29" t="s">
        <v>327</v>
      </c>
      <c r="C75" s="29" t="s">
        <v>265</v>
      </c>
      <c r="D75" s="29"/>
      <c r="E75" s="29"/>
      <c r="F75" s="37">
        <v>42319</v>
      </c>
      <c r="G75" s="37" t="s">
        <v>543</v>
      </c>
      <c r="H75" s="29" t="s">
        <v>49</v>
      </c>
      <c r="I75" s="29" t="s">
        <v>318</v>
      </c>
      <c r="J75" s="33" t="s">
        <v>55</v>
      </c>
      <c r="K75" s="38">
        <v>2</v>
      </c>
      <c r="L75" s="29">
        <v>3</v>
      </c>
      <c r="M75" s="29" t="s">
        <v>281</v>
      </c>
      <c r="N75" s="39">
        <v>1</v>
      </c>
    </row>
    <row r="76" spans="1:15" ht="35.1" customHeight="1" x14ac:dyDescent="0.2">
      <c r="A76" s="29" t="s">
        <v>602</v>
      </c>
      <c r="B76" s="29" t="s">
        <v>393</v>
      </c>
      <c r="C76" s="29" t="s">
        <v>272</v>
      </c>
      <c r="D76" s="29"/>
      <c r="E76" s="29"/>
      <c r="F76" s="37">
        <v>42331</v>
      </c>
      <c r="G76" s="37" t="s">
        <v>543</v>
      </c>
      <c r="H76" s="29" t="s">
        <v>508</v>
      </c>
      <c r="I76" s="29" t="s">
        <v>516</v>
      </c>
      <c r="J76" s="33" t="s">
        <v>293</v>
      </c>
      <c r="K76" s="38">
        <v>1</v>
      </c>
      <c r="L76" s="53">
        <v>2</v>
      </c>
      <c r="M76" s="29" t="s">
        <v>281</v>
      </c>
      <c r="N76" s="39">
        <v>3</v>
      </c>
    </row>
    <row r="77" spans="1:15" ht="35.1" customHeight="1" x14ac:dyDescent="0.2">
      <c r="A77" s="29" t="s">
        <v>603</v>
      </c>
      <c r="B77" s="29" t="s">
        <v>389</v>
      </c>
      <c r="C77" s="29" t="s">
        <v>390</v>
      </c>
      <c r="D77" s="29"/>
      <c r="E77" s="29"/>
      <c r="F77" s="37">
        <v>42331</v>
      </c>
      <c r="G77" s="37" t="s">
        <v>543</v>
      </c>
      <c r="H77" s="29" t="s">
        <v>52</v>
      </c>
      <c r="I77" s="29" t="s">
        <v>516</v>
      </c>
      <c r="J77" s="33" t="s">
        <v>293</v>
      </c>
      <c r="K77" s="52">
        <v>3</v>
      </c>
      <c r="L77" s="29">
        <v>1</v>
      </c>
      <c r="M77" s="29" t="s">
        <v>281</v>
      </c>
      <c r="N77" s="39">
        <v>2</v>
      </c>
    </row>
    <row r="78" spans="1:15" ht="35.1" customHeight="1" x14ac:dyDescent="0.2">
      <c r="A78" s="29" t="s">
        <v>604</v>
      </c>
      <c r="B78" s="29" t="s">
        <v>392</v>
      </c>
      <c r="C78" s="29" t="s">
        <v>391</v>
      </c>
      <c r="D78" s="29"/>
      <c r="E78" s="29"/>
      <c r="F78" s="37">
        <v>42331</v>
      </c>
      <c r="G78" s="37" t="s">
        <v>543</v>
      </c>
      <c r="H78" s="29" t="s">
        <v>51</v>
      </c>
      <c r="I78" s="29" t="s">
        <v>516</v>
      </c>
      <c r="J78" s="33" t="s">
        <v>293</v>
      </c>
      <c r="K78" s="38">
        <v>1</v>
      </c>
      <c r="L78" s="51">
        <v>3</v>
      </c>
      <c r="M78" s="29" t="s">
        <v>281</v>
      </c>
      <c r="N78" s="39">
        <v>2</v>
      </c>
    </row>
    <row r="79" spans="1:15" ht="35.1" customHeight="1" x14ac:dyDescent="0.2">
      <c r="A79" s="29" t="s">
        <v>605</v>
      </c>
      <c r="B79" s="29" t="s">
        <v>442</v>
      </c>
      <c r="C79" s="29" t="s">
        <v>441</v>
      </c>
      <c r="D79" s="29"/>
      <c r="E79" s="29"/>
      <c r="F79" s="37">
        <v>42338</v>
      </c>
      <c r="G79" s="37" t="s">
        <v>543</v>
      </c>
      <c r="H79" s="29" t="s">
        <v>380</v>
      </c>
      <c r="I79" s="29" t="s">
        <v>516</v>
      </c>
      <c r="J79" s="33" t="s">
        <v>293</v>
      </c>
      <c r="K79" s="38" t="s">
        <v>281</v>
      </c>
      <c r="L79" s="51">
        <v>3</v>
      </c>
      <c r="M79" s="29">
        <v>1</v>
      </c>
      <c r="N79" s="39">
        <v>2</v>
      </c>
    </row>
    <row r="80" spans="1:15" ht="35.1" customHeight="1" x14ac:dyDescent="0.2">
      <c r="A80" s="29" t="s">
        <v>607</v>
      </c>
      <c r="B80" s="29" t="s">
        <v>325</v>
      </c>
      <c r="C80" s="29" t="s">
        <v>438</v>
      </c>
      <c r="D80" s="29"/>
      <c r="E80" s="29"/>
      <c r="F80" s="37">
        <v>42338</v>
      </c>
      <c r="G80" s="37" t="s">
        <v>543</v>
      </c>
      <c r="H80" s="29" t="s">
        <v>50</v>
      </c>
      <c r="I80" s="29" t="s">
        <v>516</v>
      </c>
      <c r="J80" s="33" t="s">
        <v>55</v>
      </c>
      <c r="K80" s="38">
        <v>1</v>
      </c>
      <c r="L80" s="53">
        <v>2</v>
      </c>
      <c r="M80" s="29">
        <v>3</v>
      </c>
      <c r="N80" s="39">
        <v>2</v>
      </c>
    </row>
    <row r="81" spans="1:15" ht="35.1" customHeight="1" x14ac:dyDescent="0.2">
      <c r="A81" s="29" t="s">
        <v>648</v>
      </c>
      <c r="B81" s="29"/>
      <c r="C81" s="29"/>
      <c r="D81" s="29"/>
      <c r="E81" s="29"/>
      <c r="F81" s="37">
        <v>42338</v>
      </c>
      <c r="G81" s="37"/>
      <c r="H81" s="48" t="s">
        <v>646</v>
      </c>
      <c r="I81" s="29" t="s">
        <v>516</v>
      </c>
      <c r="J81" s="33" t="s">
        <v>293</v>
      </c>
      <c r="K81" s="38"/>
      <c r="L81" s="29"/>
      <c r="M81" s="29"/>
      <c r="N81" s="39"/>
    </row>
    <row r="82" spans="1:15" ht="35.1" customHeight="1" x14ac:dyDescent="0.2">
      <c r="A82" s="29" t="s">
        <v>606</v>
      </c>
      <c r="B82" s="29" t="s">
        <v>437</v>
      </c>
      <c r="C82" s="29" t="s">
        <v>268</v>
      </c>
      <c r="D82" s="29"/>
      <c r="E82" s="29"/>
      <c r="F82" s="37">
        <v>42338</v>
      </c>
      <c r="G82" s="37" t="s">
        <v>543</v>
      </c>
      <c r="H82" s="29" t="s">
        <v>292</v>
      </c>
      <c r="I82" s="29" t="s">
        <v>318</v>
      </c>
      <c r="J82" s="33" t="s">
        <v>55</v>
      </c>
      <c r="K82" s="38">
        <v>1</v>
      </c>
      <c r="L82" s="29">
        <v>3</v>
      </c>
      <c r="M82" s="29" t="s">
        <v>281</v>
      </c>
      <c r="N82" s="39">
        <v>2</v>
      </c>
    </row>
    <row r="83" spans="1:15" ht="35.1" customHeight="1" x14ac:dyDescent="0.2">
      <c r="A83" s="29" t="s">
        <v>608</v>
      </c>
      <c r="B83" s="29" t="s">
        <v>440</v>
      </c>
      <c r="C83" s="29" t="s">
        <v>439</v>
      </c>
      <c r="D83" s="29"/>
      <c r="E83" s="29"/>
      <c r="F83" s="37">
        <v>42338</v>
      </c>
      <c r="G83" s="37" t="s">
        <v>543</v>
      </c>
      <c r="H83" s="29" t="s">
        <v>292</v>
      </c>
      <c r="I83" s="29" t="s">
        <v>318</v>
      </c>
      <c r="J83" s="33" t="s">
        <v>54</v>
      </c>
      <c r="K83" s="38">
        <v>1</v>
      </c>
      <c r="L83" s="29">
        <v>3</v>
      </c>
      <c r="M83" s="29">
        <v>2</v>
      </c>
      <c r="N83" s="39"/>
    </row>
    <row r="84" spans="1:15" ht="35.1" customHeight="1" x14ac:dyDescent="0.2">
      <c r="A84" s="29" t="s">
        <v>609</v>
      </c>
      <c r="B84" s="29" t="s">
        <v>453</v>
      </c>
      <c r="C84" s="29" t="s">
        <v>448</v>
      </c>
      <c r="D84" s="29"/>
      <c r="E84" s="29"/>
      <c r="F84" s="37">
        <v>42354</v>
      </c>
      <c r="G84" s="37" t="s">
        <v>543</v>
      </c>
      <c r="H84" s="29" t="s">
        <v>50</v>
      </c>
      <c r="I84" s="29" t="s">
        <v>516</v>
      </c>
      <c r="J84" s="33" t="s">
        <v>54</v>
      </c>
      <c r="K84" s="38">
        <v>1</v>
      </c>
      <c r="L84" s="51">
        <v>3</v>
      </c>
      <c r="M84" s="29"/>
      <c r="N84" s="39"/>
    </row>
    <row r="85" spans="1:15" ht="35.1" customHeight="1" x14ac:dyDescent="0.2">
      <c r="A85" s="29" t="s">
        <v>610</v>
      </c>
      <c r="B85" s="29" t="s">
        <v>449</v>
      </c>
      <c r="C85" s="29" t="s">
        <v>450</v>
      </c>
      <c r="D85" s="29"/>
      <c r="E85" s="29"/>
      <c r="F85" s="37">
        <v>42354</v>
      </c>
      <c r="G85" s="37" t="s">
        <v>543</v>
      </c>
      <c r="H85" s="29" t="s">
        <v>304</v>
      </c>
      <c r="I85" s="29" t="s">
        <v>516</v>
      </c>
      <c r="J85" s="33" t="s">
        <v>293</v>
      </c>
      <c r="K85" s="54">
        <v>2</v>
      </c>
      <c r="L85" s="29">
        <v>1</v>
      </c>
      <c r="M85" s="29">
        <v>3</v>
      </c>
      <c r="N85" s="39"/>
      <c r="O85" s="24" t="s">
        <v>643</v>
      </c>
    </row>
    <row r="86" spans="1:15" ht="35.1" customHeight="1" x14ac:dyDescent="0.2">
      <c r="A86" s="29" t="s">
        <v>611</v>
      </c>
      <c r="B86" s="29" t="s">
        <v>447</v>
      </c>
      <c r="C86" s="29" t="s">
        <v>63</v>
      </c>
      <c r="D86" s="29"/>
      <c r="E86" s="29"/>
      <c r="F86" s="37">
        <v>42354</v>
      </c>
      <c r="G86" s="37" t="s">
        <v>543</v>
      </c>
      <c r="H86" s="29" t="s">
        <v>49</v>
      </c>
      <c r="I86" s="29" t="s">
        <v>516</v>
      </c>
      <c r="J86" s="33" t="s">
        <v>293</v>
      </c>
      <c r="K86" s="38">
        <v>1</v>
      </c>
      <c r="L86" s="53">
        <v>2</v>
      </c>
      <c r="M86" s="29" t="s">
        <v>281</v>
      </c>
      <c r="N86" s="39">
        <v>3</v>
      </c>
    </row>
    <row r="87" spans="1:15" ht="35.1" customHeight="1" x14ac:dyDescent="0.2">
      <c r="A87" s="29" t="s">
        <v>652</v>
      </c>
      <c r="B87" s="29"/>
      <c r="C87" s="29"/>
      <c r="D87" s="29"/>
      <c r="E87" s="29"/>
      <c r="F87" s="37">
        <v>42354</v>
      </c>
      <c r="G87" s="37"/>
      <c r="H87" s="48" t="s">
        <v>646</v>
      </c>
      <c r="I87" s="29" t="s">
        <v>516</v>
      </c>
      <c r="J87" s="33" t="s">
        <v>293</v>
      </c>
      <c r="K87" s="54">
        <v>2</v>
      </c>
      <c r="L87" s="29">
        <v>3</v>
      </c>
      <c r="M87" s="29">
        <v>1</v>
      </c>
      <c r="N87" s="39"/>
    </row>
    <row r="88" spans="1:15" ht="35.1" customHeight="1" x14ac:dyDescent="0.2">
      <c r="A88" s="29" t="s">
        <v>612</v>
      </c>
      <c r="B88" s="29" t="s">
        <v>458</v>
      </c>
      <c r="C88" s="29" t="s">
        <v>457</v>
      </c>
      <c r="D88" s="29"/>
      <c r="E88" s="29"/>
      <c r="F88" s="37">
        <v>42373</v>
      </c>
      <c r="G88" s="37" t="s">
        <v>543</v>
      </c>
      <c r="H88" s="29" t="s">
        <v>454</v>
      </c>
      <c r="I88" s="29" t="s">
        <v>516</v>
      </c>
      <c r="J88" s="33" t="s">
        <v>54</v>
      </c>
      <c r="K88" s="52">
        <v>3</v>
      </c>
      <c r="L88" s="29">
        <v>1</v>
      </c>
      <c r="M88" s="29">
        <v>2</v>
      </c>
      <c r="N88" s="39" t="s">
        <v>281</v>
      </c>
    </row>
    <row r="89" spans="1:15" ht="35.1" customHeight="1" x14ac:dyDescent="0.2">
      <c r="A89" s="29" t="s">
        <v>651</v>
      </c>
      <c r="B89" s="29"/>
      <c r="C89" s="29"/>
      <c r="D89" s="29"/>
      <c r="E89" s="29"/>
      <c r="F89" s="37">
        <v>42373</v>
      </c>
      <c r="G89" s="37"/>
      <c r="H89" s="48" t="s">
        <v>655</v>
      </c>
      <c r="I89" s="29" t="s">
        <v>516</v>
      </c>
      <c r="J89" s="33" t="s">
        <v>293</v>
      </c>
      <c r="K89" s="38">
        <v>1</v>
      </c>
      <c r="L89" s="51">
        <v>3</v>
      </c>
      <c r="M89" s="29">
        <v>2</v>
      </c>
      <c r="N89" s="39"/>
    </row>
    <row r="90" spans="1:15" ht="35.1" customHeight="1" x14ac:dyDescent="0.2">
      <c r="A90" s="29" t="s">
        <v>613</v>
      </c>
      <c r="B90" s="29" t="s">
        <v>520</v>
      </c>
      <c r="C90" s="29" t="s">
        <v>519</v>
      </c>
      <c r="D90" s="29"/>
      <c r="E90" s="29">
        <v>610969</v>
      </c>
      <c r="F90" s="37">
        <v>42415</v>
      </c>
      <c r="G90" s="37">
        <v>42495</v>
      </c>
      <c r="H90" s="29" t="s">
        <v>292</v>
      </c>
      <c r="I90" s="29" t="s">
        <v>318</v>
      </c>
      <c r="J90" s="33" t="s">
        <v>54</v>
      </c>
      <c r="K90" s="38" t="s">
        <v>281</v>
      </c>
      <c r="L90" s="29">
        <v>2</v>
      </c>
      <c r="M90" s="29">
        <v>3</v>
      </c>
      <c r="N90" s="39">
        <v>1</v>
      </c>
    </row>
    <row r="91" spans="1:15" ht="35.1" customHeight="1" x14ac:dyDescent="0.2">
      <c r="A91" s="29" t="s">
        <v>614</v>
      </c>
      <c r="B91" s="29" t="s">
        <v>518</v>
      </c>
      <c r="C91" s="29" t="s">
        <v>40</v>
      </c>
      <c r="D91" s="29"/>
      <c r="E91" s="29">
        <v>610967</v>
      </c>
      <c r="F91" s="37">
        <v>42415</v>
      </c>
      <c r="G91" s="37">
        <v>42495</v>
      </c>
      <c r="H91" s="29" t="s">
        <v>292</v>
      </c>
      <c r="I91" s="29" t="s">
        <v>318</v>
      </c>
      <c r="J91" s="33" t="s">
        <v>54</v>
      </c>
      <c r="K91" s="38">
        <v>1</v>
      </c>
      <c r="L91" s="29" t="s">
        <v>281</v>
      </c>
      <c r="M91" s="29">
        <v>3</v>
      </c>
      <c r="N91" s="39">
        <v>2</v>
      </c>
    </row>
    <row r="92" spans="1:15" ht="35.1" customHeight="1" x14ac:dyDescent="0.2">
      <c r="A92" s="29" t="s">
        <v>616</v>
      </c>
      <c r="B92" s="29" t="s">
        <v>274</v>
      </c>
      <c r="C92" s="29" t="s">
        <v>521</v>
      </c>
      <c r="D92" s="29"/>
      <c r="E92" s="29"/>
      <c r="F92" s="37">
        <v>42422</v>
      </c>
      <c r="G92" s="37">
        <v>42502</v>
      </c>
      <c r="H92" s="29" t="s">
        <v>50</v>
      </c>
      <c r="I92" s="29" t="s">
        <v>516</v>
      </c>
      <c r="J92" s="33" t="s">
        <v>54</v>
      </c>
      <c r="K92" s="38">
        <v>1</v>
      </c>
      <c r="L92" s="53">
        <v>2</v>
      </c>
      <c r="M92" s="29">
        <v>3</v>
      </c>
      <c r="N92" s="39" t="s">
        <v>281</v>
      </c>
    </row>
    <row r="93" spans="1:15" ht="35.1" customHeight="1" x14ac:dyDescent="0.2">
      <c r="A93" s="29" t="s">
        <v>615</v>
      </c>
      <c r="B93" s="29" t="s">
        <v>522</v>
      </c>
      <c r="C93" s="29" t="s">
        <v>523</v>
      </c>
      <c r="D93" s="29"/>
      <c r="E93" s="29"/>
      <c r="F93" s="37">
        <v>42422</v>
      </c>
      <c r="G93" s="37">
        <v>42502</v>
      </c>
      <c r="H93" s="29" t="s">
        <v>292</v>
      </c>
      <c r="I93" s="29" t="s">
        <v>318</v>
      </c>
      <c r="J93" s="33" t="s">
        <v>54</v>
      </c>
      <c r="K93" s="38">
        <v>1</v>
      </c>
      <c r="L93" s="29">
        <v>2</v>
      </c>
      <c r="M93" s="29">
        <v>3</v>
      </c>
      <c r="N93" s="39" t="s">
        <v>281</v>
      </c>
    </row>
    <row r="94" spans="1:15" ht="35.1" customHeight="1" x14ac:dyDescent="0.2">
      <c r="A94" s="29" t="s">
        <v>618</v>
      </c>
      <c r="B94" s="29" t="s">
        <v>526</v>
      </c>
      <c r="C94" s="29" t="s">
        <v>519</v>
      </c>
      <c r="D94" s="29"/>
      <c r="E94" s="29"/>
      <c r="F94" s="37">
        <v>42450</v>
      </c>
      <c r="G94" s="37">
        <v>42530</v>
      </c>
      <c r="H94" s="29" t="s">
        <v>304</v>
      </c>
      <c r="I94" s="29" t="s">
        <v>516</v>
      </c>
      <c r="J94" s="33" t="s">
        <v>54</v>
      </c>
      <c r="K94" s="38" t="s">
        <v>281</v>
      </c>
      <c r="L94" s="29">
        <v>1</v>
      </c>
      <c r="M94" s="53">
        <v>2</v>
      </c>
      <c r="N94" s="39">
        <v>3</v>
      </c>
    </row>
    <row r="95" spans="1:15" ht="35.1" customHeight="1" x14ac:dyDescent="0.2">
      <c r="A95" s="29" t="s">
        <v>617</v>
      </c>
      <c r="B95" s="29" t="s">
        <v>274</v>
      </c>
      <c r="C95" s="29" t="s">
        <v>525</v>
      </c>
      <c r="D95" s="29"/>
      <c r="E95" s="29"/>
      <c r="F95" s="37">
        <v>42450</v>
      </c>
      <c r="G95" s="37">
        <v>42530</v>
      </c>
      <c r="H95" s="29" t="s">
        <v>48</v>
      </c>
      <c r="I95" s="29" t="s">
        <v>516</v>
      </c>
      <c r="J95" s="33" t="s">
        <v>54</v>
      </c>
      <c r="K95" s="38">
        <v>1</v>
      </c>
      <c r="L95" s="51">
        <v>3</v>
      </c>
      <c r="M95" s="29">
        <v>2</v>
      </c>
      <c r="N95" s="39"/>
    </row>
    <row r="96" spans="1:15" ht="35.1" customHeight="1" x14ac:dyDescent="0.2">
      <c r="A96" s="29" t="s">
        <v>619</v>
      </c>
      <c r="B96" s="29" t="s">
        <v>527</v>
      </c>
      <c r="C96" s="29" t="s">
        <v>437</v>
      </c>
      <c r="D96" s="29"/>
      <c r="E96" s="29"/>
      <c r="F96" s="37">
        <v>42450</v>
      </c>
      <c r="G96" s="37">
        <v>42530</v>
      </c>
      <c r="H96" s="29" t="s">
        <v>292</v>
      </c>
      <c r="I96" s="29" t="s">
        <v>318</v>
      </c>
      <c r="J96" s="33" t="s">
        <v>54</v>
      </c>
      <c r="K96" s="38"/>
      <c r="L96" s="29"/>
      <c r="M96" s="29"/>
      <c r="N96" s="39"/>
    </row>
    <row r="97" spans="1:14" ht="35.1" customHeight="1" x14ac:dyDescent="0.2">
      <c r="A97" s="29" t="s">
        <v>621</v>
      </c>
      <c r="B97" s="29" t="s">
        <v>539</v>
      </c>
      <c r="C97" s="29" t="s">
        <v>540</v>
      </c>
      <c r="D97" s="29"/>
      <c r="E97" s="29"/>
      <c r="F97" s="37">
        <v>42457</v>
      </c>
      <c r="G97" s="37">
        <v>42537</v>
      </c>
      <c r="H97" s="29" t="s">
        <v>52</v>
      </c>
      <c r="I97" s="29" t="s">
        <v>516</v>
      </c>
      <c r="J97" s="33" t="s">
        <v>54</v>
      </c>
      <c r="K97" s="52">
        <v>3</v>
      </c>
      <c r="L97" s="29">
        <v>2</v>
      </c>
      <c r="M97" s="29" t="s">
        <v>281</v>
      </c>
      <c r="N97" s="39">
        <v>1</v>
      </c>
    </row>
    <row r="98" spans="1:14" ht="35.1" customHeight="1" x14ac:dyDescent="0.2">
      <c r="A98" s="29" t="s">
        <v>620</v>
      </c>
      <c r="B98" s="29" t="s">
        <v>537</v>
      </c>
      <c r="C98" s="29" t="s">
        <v>538</v>
      </c>
      <c r="D98" s="29"/>
      <c r="E98" s="29"/>
      <c r="F98" s="37">
        <v>42457</v>
      </c>
      <c r="G98" s="37">
        <v>42537</v>
      </c>
      <c r="H98" s="29" t="s">
        <v>52</v>
      </c>
      <c r="I98" s="29" t="s">
        <v>516</v>
      </c>
      <c r="J98" s="33" t="s">
        <v>54</v>
      </c>
      <c r="K98" s="52">
        <v>3</v>
      </c>
      <c r="L98" s="29">
        <v>2</v>
      </c>
      <c r="M98" s="29">
        <v>1</v>
      </c>
      <c r="N98" s="39" t="s">
        <v>281</v>
      </c>
    </row>
    <row r="99" spans="1:14" ht="35.1" customHeight="1" x14ac:dyDescent="0.2">
      <c r="A99" s="29" t="s">
        <v>622</v>
      </c>
      <c r="B99" s="29" t="s">
        <v>541</v>
      </c>
      <c r="C99" s="29" t="s">
        <v>518</v>
      </c>
      <c r="D99" s="29"/>
      <c r="E99" s="29"/>
      <c r="F99" s="37">
        <v>42457</v>
      </c>
      <c r="G99" s="37">
        <v>42537</v>
      </c>
      <c r="H99" s="29" t="s">
        <v>52</v>
      </c>
      <c r="I99" s="29" t="s">
        <v>516</v>
      </c>
      <c r="J99" s="33" t="s">
        <v>54</v>
      </c>
      <c r="K99" s="52">
        <v>3</v>
      </c>
      <c r="L99" s="29">
        <v>2</v>
      </c>
      <c r="M99" s="29" t="s">
        <v>281</v>
      </c>
      <c r="N99" s="39">
        <v>1</v>
      </c>
    </row>
    <row r="100" spans="1:14" ht="35.1" customHeight="1" x14ac:dyDescent="0.2">
      <c r="A100" s="29" t="s">
        <v>631</v>
      </c>
      <c r="B100" s="29" t="s">
        <v>57</v>
      </c>
      <c r="C100" s="29" t="s">
        <v>630</v>
      </c>
      <c r="D100" s="29"/>
      <c r="E100" s="29"/>
      <c r="F100" s="29"/>
      <c r="G100" s="29"/>
      <c r="H100" s="29"/>
      <c r="I100" s="29" t="s">
        <v>318</v>
      </c>
      <c r="J100" s="33" t="s">
        <v>55</v>
      </c>
      <c r="K100" s="38">
        <v>1</v>
      </c>
      <c r="L100" s="29" t="s">
        <v>281</v>
      </c>
      <c r="M100" s="29">
        <v>2</v>
      </c>
      <c r="N100" s="39">
        <v>3</v>
      </c>
    </row>
    <row r="101" spans="1:14" ht="35.1" customHeight="1" thickBot="1" x14ac:dyDescent="0.25">
      <c r="A101" s="29" t="s">
        <v>634</v>
      </c>
      <c r="B101" s="29" t="s">
        <v>632</v>
      </c>
      <c r="C101" s="29" t="s">
        <v>633</v>
      </c>
      <c r="D101" s="29"/>
      <c r="E101" s="29"/>
      <c r="F101" s="29"/>
      <c r="G101" s="29"/>
      <c r="H101" s="29" t="s">
        <v>292</v>
      </c>
      <c r="I101" s="29" t="s">
        <v>318</v>
      </c>
      <c r="J101" s="33" t="s">
        <v>55</v>
      </c>
      <c r="K101" s="40">
        <v>2</v>
      </c>
      <c r="L101" s="41" t="s">
        <v>281</v>
      </c>
      <c r="M101" s="41">
        <v>1</v>
      </c>
      <c r="N101" s="42">
        <v>3</v>
      </c>
    </row>
    <row r="102" spans="1:14" ht="35.1" customHeight="1" x14ac:dyDescent="0.2"/>
  </sheetData>
  <autoFilter ref="A3:O101"/>
  <mergeCells count="1">
    <mergeCell ref="K1:N2"/>
  </mergeCells>
  <pageMargins left="0.7" right="0.7" top="0.75" bottom="0.75" header="0.3" footer="0.3"/>
  <pageSetup scale="79" orientation="portrait" r:id="rId1"/>
  <rowBreaks count="1" manualBreakCount="1">
    <brk id="77" max="1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E85"/>
  <sheetViews>
    <sheetView view="pageBreakPreview" topLeftCell="A42" zoomScaleNormal="80" zoomScaleSheetLayoutView="100" workbookViewId="0">
      <selection activeCell="B52" sqref="B52:D52"/>
    </sheetView>
  </sheetViews>
  <sheetFormatPr defaultRowHeight="14.25" x14ac:dyDescent="0.2"/>
  <cols>
    <col min="1" max="1" width="25.625" customWidth="1"/>
    <col min="2" max="2" width="10.25" bestFit="1" customWidth="1"/>
    <col min="3" max="3" width="12.625" customWidth="1"/>
    <col min="4" max="4" width="10" bestFit="1" customWidth="1"/>
  </cols>
  <sheetData>
    <row r="1" spans="1:5" ht="30" x14ac:dyDescent="0.4">
      <c r="A1" s="173" t="s">
        <v>504</v>
      </c>
      <c r="B1" s="173"/>
      <c r="C1" s="173"/>
      <c r="D1" s="173"/>
    </row>
    <row r="2" spans="1:5" ht="55.5" customHeight="1" x14ac:dyDescent="0.2">
      <c r="A2" s="6"/>
      <c r="B2" s="174" t="s">
        <v>503</v>
      </c>
      <c r="C2" s="175"/>
      <c r="D2" s="175"/>
    </row>
    <row r="3" spans="1:5" x14ac:dyDescent="0.2">
      <c r="A3" s="6" t="s">
        <v>257</v>
      </c>
      <c r="B3" s="8" t="s">
        <v>372</v>
      </c>
      <c r="C3" s="8" t="s">
        <v>278</v>
      </c>
      <c r="D3" s="8" t="s">
        <v>279</v>
      </c>
    </row>
    <row r="4" spans="1:5" s="24" customFormat="1" ht="27.75" customHeight="1" x14ac:dyDescent="0.2">
      <c r="A4" s="25" t="s">
        <v>403</v>
      </c>
      <c r="B4" s="23"/>
      <c r="C4" s="23"/>
      <c r="D4" s="23"/>
    </row>
    <row r="5" spans="1:5" s="24" customFormat="1" ht="27.75" customHeight="1" x14ac:dyDescent="0.2">
      <c r="A5" s="25" t="s">
        <v>404</v>
      </c>
      <c r="B5" s="26"/>
      <c r="C5" s="26"/>
      <c r="D5" s="26"/>
      <c r="E5" s="24" t="s">
        <v>281</v>
      </c>
    </row>
    <row r="6" spans="1:5" s="24" customFormat="1" ht="27.75" customHeight="1" x14ac:dyDescent="0.2">
      <c r="A6" s="25" t="s">
        <v>360</v>
      </c>
      <c r="B6" s="23">
        <v>2</v>
      </c>
      <c r="C6" s="23">
        <v>3</v>
      </c>
      <c r="D6" s="23">
        <v>1</v>
      </c>
    </row>
    <row r="7" spans="1:5" s="24" customFormat="1" ht="27.75" customHeight="1" x14ac:dyDescent="0.2">
      <c r="A7" s="25" t="s">
        <v>474</v>
      </c>
      <c r="B7" s="26"/>
      <c r="C7" s="26"/>
      <c r="D7" s="26"/>
      <c r="E7" s="24" t="s">
        <v>281</v>
      </c>
    </row>
    <row r="8" spans="1:5" s="24" customFormat="1" ht="27.75" customHeight="1" x14ac:dyDescent="0.2">
      <c r="A8" s="25" t="s">
        <v>463</v>
      </c>
      <c r="B8" s="23">
        <v>1</v>
      </c>
      <c r="C8" s="23"/>
      <c r="D8" s="23"/>
    </row>
    <row r="9" spans="1:5" s="24" customFormat="1" ht="27.75" customHeight="1" x14ac:dyDescent="0.2">
      <c r="A9" s="25" t="s">
        <v>472</v>
      </c>
      <c r="B9" s="23">
        <v>1</v>
      </c>
      <c r="C9" s="23"/>
      <c r="D9" s="23"/>
    </row>
    <row r="10" spans="1:5" s="24" customFormat="1" ht="27.75" customHeight="1" x14ac:dyDescent="0.2">
      <c r="A10" s="25" t="s">
        <v>476</v>
      </c>
      <c r="B10" s="23"/>
      <c r="C10" s="23"/>
      <c r="D10" s="23"/>
    </row>
    <row r="11" spans="1:5" s="24" customFormat="1" ht="27.75" customHeight="1" x14ac:dyDescent="0.2">
      <c r="A11" s="25" t="s">
        <v>489</v>
      </c>
      <c r="B11" s="23">
        <v>2</v>
      </c>
      <c r="C11" s="23">
        <v>1</v>
      </c>
      <c r="D11" s="23">
        <v>3</v>
      </c>
    </row>
    <row r="12" spans="1:5" s="24" customFormat="1" ht="27.75" customHeight="1" x14ac:dyDescent="0.2">
      <c r="A12" s="25" t="s">
        <v>376</v>
      </c>
      <c r="B12" s="23">
        <v>1</v>
      </c>
      <c r="C12" s="23">
        <v>3</v>
      </c>
      <c r="D12" s="23">
        <v>2</v>
      </c>
    </row>
    <row r="13" spans="1:5" s="24" customFormat="1" ht="27.75" customHeight="1" x14ac:dyDescent="0.2">
      <c r="A13" s="25" t="s">
        <v>334</v>
      </c>
      <c r="B13" s="23">
        <v>1</v>
      </c>
      <c r="C13" s="23">
        <v>2</v>
      </c>
      <c r="D13" s="23">
        <v>3</v>
      </c>
    </row>
    <row r="14" spans="1:5" s="24" customFormat="1" ht="27.75" customHeight="1" x14ac:dyDescent="0.2">
      <c r="A14" s="25" t="s">
        <v>492</v>
      </c>
      <c r="B14" s="23">
        <v>1</v>
      </c>
      <c r="C14" s="23">
        <v>2</v>
      </c>
      <c r="D14" s="23">
        <v>3</v>
      </c>
    </row>
    <row r="15" spans="1:5" s="24" customFormat="1" ht="27.75" customHeight="1" x14ac:dyDescent="0.2">
      <c r="A15" s="25" t="s">
        <v>497</v>
      </c>
      <c r="B15" s="23">
        <v>3</v>
      </c>
      <c r="C15" s="23">
        <v>1</v>
      </c>
      <c r="D15" s="23">
        <v>2</v>
      </c>
    </row>
    <row r="16" spans="1:5" s="24" customFormat="1" ht="27.75" customHeight="1" x14ac:dyDescent="0.2">
      <c r="A16" s="25" t="s">
        <v>481</v>
      </c>
      <c r="B16" s="26"/>
      <c r="C16" s="26"/>
      <c r="D16" s="26"/>
      <c r="E16" s="24" t="s">
        <v>281</v>
      </c>
    </row>
    <row r="17" spans="1:4" s="24" customFormat="1" ht="27.75" customHeight="1" x14ac:dyDescent="0.2">
      <c r="A17" s="25" t="s">
        <v>499</v>
      </c>
      <c r="B17" s="23">
        <v>1</v>
      </c>
      <c r="C17" s="23">
        <v>3</v>
      </c>
      <c r="D17" s="23">
        <v>2</v>
      </c>
    </row>
    <row r="18" spans="1:4" s="24" customFormat="1" ht="27.75" customHeight="1" x14ac:dyDescent="0.2">
      <c r="A18" s="25" t="s">
        <v>333</v>
      </c>
      <c r="B18" s="23">
        <v>3</v>
      </c>
      <c r="C18" s="23">
        <v>1</v>
      </c>
      <c r="D18" s="23">
        <v>2</v>
      </c>
    </row>
    <row r="19" spans="1:4" s="24" customFormat="1" ht="27.75" customHeight="1" x14ac:dyDescent="0.2">
      <c r="A19" s="25" t="s">
        <v>482</v>
      </c>
      <c r="B19" s="23">
        <v>1</v>
      </c>
      <c r="C19" s="23">
        <v>2</v>
      </c>
      <c r="D19" s="23">
        <v>3</v>
      </c>
    </row>
    <row r="20" spans="1:4" s="24" customFormat="1" ht="27.75" customHeight="1" x14ac:dyDescent="0.2">
      <c r="A20" s="25" t="s">
        <v>407</v>
      </c>
      <c r="B20" s="23"/>
      <c r="C20" s="23"/>
      <c r="D20" s="23"/>
    </row>
    <row r="21" spans="1:4" s="24" customFormat="1" ht="27.75" customHeight="1" x14ac:dyDescent="0.2">
      <c r="A21" s="25" t="s">
        <v>490</v>
      </c>
      <c r="B21" s="23">
        <v>1</v>
      </c>
      <c r="C21" s="23">
        <v>2</v>
      </c>
      <c r="D21" s="23">
        <v>3</v>
      </c>
    </row>
    <row r="22" spans="1:4" s="24" customFormat="1" ht="27.75" customHeight="1" x14ac:dyDescent="0.2">
      <c r="A22" s="25" t="s">
        <v>483</v>
      </c>
      <c r="B22" s="23">
        <v>1</v>
      </c>
      <c r="C22" s="23">
        <v>2</v>
      </c>
      <c r="D22" s="23">
        <v>3</v>
      </c>
    </row>
    <row r="23" spans="1:4" s="24" customFormat="1" ht="27.75" customHeight="1" x14ac:dyDescent="0.2">
      <c r="A23" s="25" t="s">
        <v>465</v>
      </c>
      <c r="B23" s="23">
        <v>1</v>
      </c>
      <c r="C23" s="23"/>
      <c r="D23" s="23"/>
    </row>
    <row r="24" spans="1:4" s="24" customFormat="1" ht="27.75" customHeight="1" x14ac:dyDescent="0.2">
      <c r="A24" s="25" t="s">
        <v>459</v>
      </c>
      <c r="B24" s="23">
        <v>1</v>
      </c>
      <c r="C24" s="23"/>
      <c r="D24" s="23"/>
    </row>
    <row r="25" spans="1:4" s="24" customFormat="1" ht="27.75" customHeight="1" x14ac:dyDescent="0.2">
      <c r="A25" s="25" t="s">
        <v>340</v>
      </c>
      <c r="B25" s="23">
        <v>3</v>
      </c>
      <c r="C25" s="23">
        <v>1</v>
      </c>
      <c r="D25" s="23">
        <v>2</v>
      </c>
    </row>
    <row r="26" spans="1:4" s="24" customFormat="1" ht="27.75" customHeight="1" x14ac:dyDescent="0.2">
      <c r="A26" s="25" t="s">
        <v>337</v>
      </c>
      <c r="B26" s="23"/>
      <c r="C26" s="23"/>
      <c r="D26" s="23"/>
    </row>
    <row r="27" spans="1:4" s="24" customFormat="1" ht="27.75" customHeight="1" x14ac:dyDescent="0.2">
      <c r="A27" s="25" t="s">
        <v>436</v>
      </c>
      <c r="B27" s="23">
        <v>3</v>
      </c>
      <c r="C27" s="23">
        <v>1</v>
      </c>
      <c r="D27" s="23">
        <v>2</v>
      </c>
    </row>
    <row r="28" spans="1:4" s="24" customFormat="1" ht="27.75" customHeight="1" x14ac:dyDescent="0.2">
      <c r="A28" s="25" t="s">
        <v>479</v>
      </c>
      <c r="B28" s="23">
        <v>1</v>
      </c>
      <c r="C28" s="23">
        <v>3</v>
      </c>
      <c r="D28" s="23">
        <v>2</v>
      </c>
    </row>
    <row r="29" spans="1:4" s="24" customFormat="1" ht="27.75" customHeight="1" x14ac:dyDescent="0.2">
      <c r="A29" s="25" t="s">
        <v>466</v>
      </c>
      <c r="B29" s="23">
        <v>1</v>
      </c>
      <c r="C29" s="23"/>
      <c r="D29" s="23"/>
    </row>
    <row r="30" spans="1:4" s="24" customFormat="1" ht="27.75" customHeight="1" x14ac:dyDescent="0.2">
      <c r="A30" s="25" t="s">
        <v>493</v>
      </c>
      <c r="B30" s="23">
        <v>1</v>
      </c>
      <c r="C30" s="23">
        <v>2</v>
      </c>
      <c r="D30" s="23">
        <v>3</v>
      </c>
    </row>
    <row r="31" spans="1:4" s="24" customFormat="1" ht="27.75" customHeight="1" x14ac:dyDescent="0.2">
      <c r="A31" s="25" t="s">
        <v>486</v>
      </c>
      <c r="B31" s="23">
        <v>1</v>
      </c>
      <c r="C31" s="23">
        <v>2</v>
      </c>
      <c r="D31" s="23">
        <v>3</v>
      </c>
    </row>
    <row r="32" spans="1:4" s="24" customFormat="1" ht="27.75" customHeight="1" x14ac:dyDescent="0.2">
      <c r="A32" s="25" t="s">
        <v>498</v>
      </c>
      <c r="B32" s="23">
        <v>3</v>
      </c>
      <c r="C32" s="23">
        <v>1</v>
      </c>
      <c r="D32" s="23">
        <v>2</v>
      </c>
    </row>
    <row r="33" spans="1:5" s="24" customFormat="1" ht="27.75" customHeight="1" x14ac:dyDescent="0.2">
      <c r="A33" s="25" t="s">
        <v>366</v>
      </c>
      <c r="B33" s="23">
        <v>1</v>
      </c>
      <c r="C33" s="23">
        <v>3</v>
      </c>
      <c r="D33" s="23">
        <v>2</v>
      </c>
    </row>
    <row r="34" spans="1:5" s="24" customFormat="1" ht="27.75" customHeight="1" x14ac:dyDescent="0.2">
      <c r="A34" s="25" t="s">
        <v>361</v>
      </c>
      <c r="B34" s="23">
        <v>1</v>
      </c>
      <c r="C34" s="23">
        <v>3</v>
      </c>
      <c r="D34" s="23">
        <v>2</v>
      </c>
    </row>
    <row r="35" spans="1:5" s="24" customFormat="1" ht="27.75" customHeight="1" x14ac:dyDescent="0.2">
      <c r="A35" s="25" t="s">
        <v>335</v>
      </c>
      <c r="B35" s="23">
        <v>1</v>
      </c>
      <c r="C35" s="23">
        <v>2</v>
      </c>
      <c r="D35" s="23">
        <v>3</v>
      </c>
    </row>
    <row r="36" spans="1:5" s="24" customFormat="1" ht="27.75" customHeight="1" x14ac:dyDescent="0.2">
      <c r="A36" s="25" t="s">
        <v>349</v>
      </c>
      <c r="B36" s="23">
        <v>1</v>
      </c>
      <c r="C36" s="23">
        <v>2</v>
      </c>
      <c r="D36" s="23">
        <v>3</v>
      </c>
    </row>
    <row r="37" spans="1:5" s="24" customFormat="1" ht="27.75" customHeight="1" x14ac:dyDescent="0.2">
      <c r="A37" s="25" t="s">
        <v>477</v>
      </c>
      <c r="B37" s="23">
        <v>2</v>
      </c>
      <c r="C37" s="23">
        <v>1</v>
      </c>
      <c r="D37" s="23">
        <v>3</v>
      </c>
    </row>
    <row r="38" spans="1:5" s="24" customFormat="1" ht="27.75" customHeight="1" x14ac:dyDescent="0.2">
      <c r="A38" s="25" t="s">
        <v>469</v>
      </c>
      <c r="B38" s="26"/>
      <c r="C38" s="26"/>
      <c r="D38" s="26"/>
      <c r="E38" s="24" t="s">
        <v>281</v>
      </c>
    </row>
    <row r="39" spans="1:5" s="24" customFormat="1" ht="27.75" customHeight="1" x14ac:dyDescent="0.2">
      <c r="A39" s="25" t="s">
        <v>470</v>
      </c>
      <c r="B39" s="26">
        <v>1</v>
      </c>
      <c r="C39" s="26">
        <v>2</v>
      </c>
      <c r="D39" s="26">
        <v>3</v>
      </c>
      <c r="E39" s="24" t="s">
        <v>281</v>
      </c>
    </row>
    <row r="40" spans="1:5" s="24" customFormat="1" ht="27.75" customHeight="1" x14ac:dyDescent="0.2">
      <c r="A40" s="25" t="s">
        <v>341</v>
      </c>
      <c r="B40" s="23">
        <v>3</v>
      </c>
      <c r="C40" s="23">
        <v>1</v>
      </c>
      <c r="D40" s="23">
        <v>2</v>
      </c>
    </row>
    <row r="41" spans="1:5" s="24" customFormat="1" ht="27.75" customHeight="1" x14ac:dyDescent="0.2">
      <c r="A41" s="25" t="s">
        <v>461</v>
      </c>
      <c r="B41" s="23">
        <v>1</v>
      </c>
      <c r="C41" s="23"/>
      <c r="D41" s="23"/>
    </row>
    <row r="42" spans="1:5" s="24" customFormat="1" ht="27.75" customHeight="1" x14ac:dyDescent="0.2">
      <c r="A42" s="25" t="s">
        <v>460</v>
      </c>
      <c r="B42" s="23">
        <v>1</v>
      </c>
      <c r="C42" s="23"/>
      <c r="D42" s="23"/>
    </row>
    <row r="43" spans="1:5" s="24" customFormat="1" ht="27.75" customHeight="1" x14ac:dyDescent="0.2">
      <c r="A43" s="25" t="s">
        <v>484</v>
      </c>
      <c r="B43" s="23">
        <v>1</v>
      </c>
      <c r="C43" s="23">
        <v>2</v>
      </c>
      <c r="D43" s="23">
        <v>3</v>
      </c>
    </row>
    <row r="44" spans="1:5" s="24" customFormat="1" ht="27.75" customHeight="1" x14ac:dyDescent="0.2">
      <c r="A44" s="25" t="s">
        <v>468</v>
      </c>
      <c r="B44" s="23">
        <v>1</v>
      </c>
      <c r="C44" s="23"/>
      <c r="D44" s="23"/>
    </row>
    <row r="45" spans="1:5" s="24" customFormat="1" ht="27.75" customHeight="1" x14ac:dyDescent="0.2">
      <c r="A45" s="25" t="s">
        <v>342</v>
      </c>
      <c r="B45" s="23">
        <v>1</v>
      </c>
      <c r="C45" s="23">
        <v>3</v>
      </c>
      <c r="D45" s="23">
        <v>2</v>
      </c>
    </row>
    <row r="46" spans="1:5" s="24" customFormat="1" ht="27.75" customHeight="1" x14ac:dyDescent="0.2">
      <c r="A46" s="25" t="s">
        <v>471</v>
      </c>
      <c r="B46" s="23">
        <v>1</v>
      </c>
      <c r="C46" s="23"/>
      <c r="D46" s="23"/>
    </row>
    <row r="47" spans="1:5" s="24" customFormat="1" ht="27.75" customHeight="1" x14ac:dyDescent="0.2">
      <c r="A47" s="25" t="s">
        <v>494</v>
      </c>
      <c r="B47" s="23">
        <v>3</v>
      </c>
      <c r="C47" s="23">
        <v>2</v>
      </c>
      <c r="D47" s="23">
        <v>1</v>
      </c>
    </row>
    <row r="48" spans="1:5" s="24" customFormat="1" ht="27.75" customHeight="1" x14ac:dyDescent="0.2">
      <c r="A48" s="25" t="s">
        <v>347</v>
      </c>
      <c r="B48" s="23">
        <v>3</v>
      </c>
      <c r="C48" s="23">
        <v>1</v>
      </c>
      <c r="D48" s="23">
        <v>2</v>
      </c>
    </row>
    <row r="49" spans="1:5" s="24" customFormat="1" ht="27.75" customHeight="1" x14ac:dyDescent="0.2">
      <c r="A49" s="25" t="s">
        <v>350</v>
      </c>
      <c r="B49" s="23">
        <v>1</v>
      </c>
      <c r="C49" s="23">
        <v>2</v>
      </c>
      <c r="D49" s="23">
        <v>3</v>
      </c>
    </row>
    <row r="50" spans="1:5" s="24" customFormat="1" ht="27.75" customHeight="1" x14ac:dyDescent="0.2">
      <c r="A50" s="25" t="s">
        <v>351</v>
      </c>
      <c r="B50" s="23">
        <v>3</v>
      </c>
      <c r="C50" s="23">
        <v>2</v>
      </c>
      <c r="D50" s="23">
        <v>1</v>
      </c>
    </row>
    <row r="51" spans="1:5" s="24" customFormat="1" ht="27.75" customHeight="1" x14ac:dyDescent="0.2">
      <c r="A51" s="25" t="s">
        <v>344</v>
      </c>
      <c r="B51" s="23">
        <v>1</v>
      </c>
      <c r="C51" s="23">
        <v>3</v>
      </c>
      <c r="D51" s="23">
        <v>2</v>
      </c>
    </row>
    <row r="52" spans="1:5" s="24" customFormat="1" ht="27.75" customHeight="1" x14ac:dyDescent="0.2">
      <c r="A52" s="25" t="s">
        <v>491</v>
      </c>
      <c r="B52" s="23">
        <v>3</v>
      </c>
      <c r="C52" s="23">
        <v>1</v>
      </c>
      <c r="D52" s="23">
        <v>2</v>
      </c>
    </row>
    <row r="53" spans="1:5" s="24" customFormat="1" ht="27.75" customHeight="1" x14ac:dyDescent="0.2">
      <c r="A53" s="25" t="s">
        <v>464</v>
      </c>
      <c r="B53" s="23">
        <v>1</v>
      </c>
      <c r="C53" s="23"/>
      <c r="D53" s="23"/>
    </row>
    <row r="54" spans="1:5" s="24" customFormat="1" ht="27.75" customHeight="1" x14ac:dyDescent="0.2">
      <c r="A54" s="25" t="s">
        <v>358</v>
      </c>
      <c r="B54" s="23">
        <v>1</v>
      </c>
      <c r="C54" s="23">
        <v>3</v>
      </c>
      <c r="D54" s="23">
        <v>2</v>
      </c>
    </row>
    <row r="55" spans="1:5" s="24" customFormat="1" ht="27.75" customHeight="1" x14ac:dyDescent="0.2">
      <c r="A55" s="25" t="s">
        <v>495</v>
      </c>
      <c r="B55" s="23">
        <v>1</v>
      </c>
      <c r="C55" s="23">
        <v>2</v>
      </c>
      <c r="D55" s="23">
        <v>3</v>
      </c>
    </row>
    <row r="56" spans="1:5" s="24" customFormat="1" ht="27.75" customHeight="1" x14ac:dyDescent="0.2">
      <c r="A56" s="25" t="s">
        <v>462</v>
      </c>
      <c r="B56" s="23">
        <v>1</v>
      </c>
      <c r="C56" s="23"/>
      <c r="D56" s="23"/>
    </row>
    <row r="57" spans="1:5" s="24" customFormat="1" ht="27.75" customHeight="1" x14ac:dyDescent="0.2">
      <c r="A57" s="25" t="s">
        <v>356</v>
      </c>
      <c r="B57" s="23">
        <v>1</v>
      </c>
      <c r="C57" s="23">
        <v>2</v>
      </c>
      <c r="D57" s="23">
        <v>3</v>
      </c>
    </row>
    <row r="58" spans="1:5" s="24" customFormat="1" ht="27.75" customHeight="1" x14ac:dyDescent="0.2">
      <c r="A58" s="25" t="s">
        <v>420</v>
      </c>
      <c r="B58" s="23"/>
      <c r="C58" s="23"/>
      <c r="D58" s="23"/>
    </row>
    <row r="59" spans="1:5" s="24" customFormat="1" ht="27.75" customHeight="1" x14ac:dyDescent="0.2">
      <c r="A59" s="25" t="s">
        <v>473</v>
      </c>
      <c r="B59" s="23">
        <v>1</v>
      </c>
      <c r="C59" s="23"/>
      <c r="D59" s="23"/>
    </row>
    <row r="60" spans="1:5" s="24" customFormat="1" ht="27.75" customHeight="1" x14ac:dyDescent="0.2">
      <c r="A60" s="25" t="s">
        <v>475</v>
      </c>
      <c r="B60" s="23">
        <v>1</v>
      </c>
      <c r="C60" s="23">
        <v>3</v>
      </c>
      <c r="D60" s="23">
        <v>2</v>
      </c>
    </row>
    <row r="61" spans="1:5" s="24" customFormat="1" ht="27.75" customHeight="1" x14ac:dyDescent="0.2">
      <c r="A61" s="25" t="s">
        <v>423</v>
      </c>
      <c r="B61" s="6">
        <v>1</v>
      </c>
      <c r="C61" s="6">
        <v>3</v>
      </c>
      <c r="D61" s="6">
        <v>2</v>
      </c>
      <c r="E61"/>
    </row>
    <row r="62" spans="1:5" s="24" customFormat="1" ht="27.75" customHeight="1" x14ac:dyDescent="0.2">
      <c r="A62" s="25" t="s">
        <v>496</v>
      </c>
      <c r="B62" s="23">
        <v>1</v>
      </c>
      <c r="C62" s="23">
        <v>3</v>
      </c>
      <c r="D62" s="23">
        <v>2</v>
      </c>
    </row>
    <row r="63" spans="1:5" s="24" customFormat="1" ht="27.75" customHeight="1" x14ac:dyDescent="0.2">
      <c r="A63" s="25" t="s">
        <v>352</v>
      </c>
      <c r="B63" s="23">
        <v>1</v>
      </c>
      <c r="C63" s="23">
        <v>3</v>
      </c>
      <c r="D63" s="23">
        <v>2</v>
      </c>
    </row>
    <row r="64" spans="1:5" s="24" customFormat="1" ht="27.75" customHeight="1" x14ac:dyDescent="0.2">
      <c r="A64" s="25" t="s">
        <v>345</v>
      </c>
      <c r="B64" s="23">
        <v>1</v>
      </c>
      <c r="C64" s="23">
        <v>2</v>
      </c>
      <c r="D64" s="23">
        <v>3</v>
      </c>
    </row>
    <row r="65" spans="1:5" s="24" customFormat="1" ht="27.75" customHeight="1" x14ac:dyDescent="0.2">
      <c r="A65" s="25" t="s">
        <v>487</v>
      </c>
      <c r="B65" s="23">
        <v>1</v>
      </c>
      <c r="C65" s="23">
        <v>2</v>
      </c>
      <c r="D65" s="23">
        <v>3</v>
      </c>
    </row>
    <row r="66" spans="1:5" s="24" customFormat="1" ht="27.75" customHeight="1" x14ac:dyDescent="0.2">
      <c r="A66" s="25" t="s">
        <v>485</v>
      </c>
      <c r="B66" s="23">
        <v>3</v>
      </c>
      <c r="C66" s="23">
        <v>1</v>
      </c>
      <c r="D66" s="23">
        <v>2</v>
      </c>
    </row>
    <row r="67" spans="1:5" s="24" customFormat="1" ht="27.75" customHeight="1" x14ac:dyDescent="0.2">
      <c r="A67" s="25" t="s">
        <v>432</v>
      </c>
      <c r="B67" s="23">
        <v>3</v>
      </c>
      <c r="C67" s="23">
        <v>2</v>
      </c>
      <c r="D67" s="23">
        <v>1</v>
      </c>
    </row>
    <row r="68" spans="1:5" s="24" customFormat="1" ht="27.75" customHeight="1" x14ac:dyDescent="0.2">
      <c r="A68" s="25" t="s">
        <v>502</v>
      </c>
      <c r="B68" s="23">
        <v>3</v>
      </c>
      <c r="C68" s="23">
        <v>1</v>
      </c>
      <c r="D68" s="23">
        <v>2</v>
      </c>
      <c r="E68"/>
    </row>
    <row r="69" spans="1:5" s="24" customFormat="1" ht="27.75" customHeight="1" x14ac:dyDescent="0.2">
      <c r="A69" s="25" t="s">
        <v>478</v>
      </c>
      <c r="B69" s="23">
        <v>2</v>
      </c>
      <c r="C69" s="23">
        <v>1</v>
      </c>
      <c r="D69" s="23">
        <v>3</v>
      </c>
    </row>
    <row r="70" spans="1:5" s="24" customFormat="1" ht="27.75" customHeight="1" x14ac:dyDescent="0.2">
      <c r="A70" s="25" t="s">
        <v>501</v>
      </c>
      <c r="B70" s="23">
        <v>3</v>
      </c>
      <c r="C70" s="23">
        <v>1</v>
      </c>
      <c r="D70" s="23">
        <v>2</v>
      </c>
      <c r="E70"/>
    </row>
    <row r="71" spans="1:5" s="24" customFormat="1" ht="27.75" customHeight="1" x14ac:dyDescent="0.2">
      <c r="A71" s="25" t="s">
        <v>338</v>
      </c>
      <c r="B71" s="23">
        <v>1</v>
      </c>
      <c r="C71" s="23">
        <v>3</v>
      </c>
      <c r="D71" s="23">
        <v>2</v>
      </c>
      <c r="E71" s="24">
        <v>2</v>
      </c>
    </row>
    <row r="72" spans="1:5" s="24" customFormat="1" ht="27.75" customHeight="1" x14ac:dyDescent="0.2">
      <c r="A72" s="25" t="s">
        <v>348</v>
      </c>
      <c r="B72" s="23">
        <v>1</v>
      </c>
      <c r="C72" s="23">
        <v>2</v>
      </c>
      <c r="D72" s="23">
        <v>3</v>
      </c>
    </row>
    <row r="73" spans="1:5" s="24" customFormat="1" ht="27.75" customHeight="1" x14ac:dyDescent="0.2">
      <c r="A73" s="25" t="s">
        <v>488</v>
      </c>
      <c r="B73" s="23">
        <v>3</v>
      </c>
      <c r="C73" s="23">
        <v>2</v>
      </c>
      <c r="D73" s="23">
        <v>1</v>
      </c>
    </row>
    <row r="74" spans="1:5" s="24" customFormat="1" ht="27.75" customHeight="1" x14ac:dyDescent="0.2">
      <c r="A74" s="25" t="s">
        <v>427</v>
      </c>
      <c r="B74" s="23">
        <v>1</v>
      </c>
      <c r="C74" s="23"/>
      <c r="D74" s="23"/>
    </row>
    <row r="75" spans="1:5" s="24" customFormat="1" ht="27.75" customHeight="1" x14ac:dyDescent="0.2">
      <c r="A75" s="25" t="s">
        <v>359</v>
      </c>
      <c r="B75" s="10">
        <v>1</v>
      </c>
      <c r="C75" s="10">
        <v>1</v>
      </c>
      <c r="D75" s="10">
        <v>3</v>
      </c>
    </row>
    <row r="76" spans="1:5" s="24" customFormat="1" ht="27.75" customHeight="1" x14ac:dyDescent="0.2">
      <c r="A76" s="25" t="s">
        <v>500</v>
      </c>
      <c r="B76" s="23">
        <v>3</v>
      </c>
      <c r="C76" s="23">
        <v>1</v>
      </c>
      <c r="D76" s="23">
        <v>2</v>
      </c>
      <c r="E76"/>
    </row>
    <row r="77" spans="1:5" s="24" customFormat="1" ht="27.75" customHeight="1" x14ac:dyDescent="0.2">
      <c r="A77" s="25" t="s">
        <v>357</v>
      </c>
      <c r="B77" s="23">
        <v>2</v>
      </c>
      <c r="C77" s="23">
        <v>3</v>
      </c>
      <c r="D77" s="23">
        <v>1</v>
      </c>
    </row>
    <row r="78" spans="1:5" s="24" customFormat="1" ht="27.75" customHeight="1" x14ac:dyDescent="0.2">
      <c r="A78" s="25" t="s">
        <v>480</v>
      </c>
      <c r="B78" s="23">
        <v>1</v>
      </c>
      <c r="C78" s="23">
        <v>2</v>
      </c>
      <c r="D78" s="23">
        <v>3</v>
      </c>
    </row>
    <row r="79" spans="1:5" s="24" customFormat="1" ht="27.75" customHeight="1" x14ac:dyDescent="0.2">
      <c r="A79" s="25" t="s">
        <v>354</v>
      </c>
      <c r="B79" s="23">
        <v>3</v>
      </c>
      <c r="C79" s="23">
        <v>1</v>
      </c>
      <c r="D79" s="23">
        <v>2</v>
      </c>
    </row>
    <row r="80" spans="1:5" ht="27.75" customHeight="1" x14ac:dyDescent="0.2">
      <c r="A80" s="25" t="s">
        <v>353</v>
      </c>
      <c r="B80" s="23">
        <v>3</v>
      </c>
      <c r="C80" s="23">
        <v>1</v>
      </c>
      <c r="D80" s="23">
        <v>2</v>
      </c>
      <c r="E80" s="24"/>
    </row>
    <row r="81" spans="1:5" ht="27.75" customHeight="1" x14ac:dyDescent="0.2">
      <c r="A81" s="25" t="s">
        <v>336</v>
      </c>
      <c r="B81" s="23">
        <v>1</v>
      </c>
      <c r="C81" s="23">
        <v>2</v>
      </c>
      <c r="D81" s="23">
        <v>3</v>
      </c>
      <c r="E81" s="24"/>
    </row>
    <row r="82" spans="1:5" ht="27.75" customHeight="1" x14ac:dyDescent="0.2">
      <c r="A82" s="25" t="s">
        <v>434</v>
      </c>
      <c r="B82" s="23">
        <v>2</v>
      </c>
      <c r="C82" s="23">
        <v>1</v>
      </c>
      <c r="D82" s="23">
        <v>3</v>
      </c>
      <c r="E82" s="24"/>
    </row>
    <row r="83" spans="1:5" ht="27.75" customHeight="1" x14ac:dyDescent="0.2">
      <c r="A83" s="25" t="s">
        <v>467</v>
      </c>
      <c r="B83" s="23"/>
      <c r="C83" s="23"/>
      <c r="D83" s="23"/>
      <c r="E83" s="24"/>
    </row>
    <row r="84" spans="1:5" ht="27.75" customHeight="1" x14ac:dyDescent="0.2">
      <c r="A84" s="25" t="s">
        <v>339</v>
      </c>
      <c r="B84" s="23">
        <v>2</v>
      </c>
      <c r="C84" s="23">
        <v>3</v>
      </c>
      <c r="D84" s="23">
        <v>1</v>
      </c>
      <c r="E84" s="24"/>
    </row>
    <row r="85" spans="1:5" x14ac:dyDescent="0.2">
      <c r="A85" s="27" t="s">
        <v>429</v>
      </c>
    </row>
  </sheetData>
  <mergeCells count="2">
    <mergeCell ref="A1:D1"/>
    <mergeCell ref="B2:D2"/>
  </mergeCells>
  <pageMargins left="0.7" right="0.7" top="0.75" bottom="0.75" header="0.3" footer="0.3"/>
  <pageSetup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E82"/>
  <sheetViews>
    <sheetView zoomScale="80" zoomScaleNormal="80" zoomScaleSheetLayoutView="100" workbookViewId="0">
      <selection activeCell="F56" sqref="F56"/>
    </sheetView>
  </sheetViews>
  <sheetFormatPr defaultRowHeight="14.25" x14ac:dyDescent="0.2"/>
  <cols>
    <col min="1" max="1" width="25.625" customWidth="1"/>
    <col min="2" max="2" width="10.25" bestFit="1" customWidth="1"/>
    <col min="3" max="3" width="12.625" customWidth="1"/>
    <col min="4" max="4" width="10" bestFit="1" customWidth="1"/>
    <col min="5" max="5" width="9.875" bestFit="1" customWidth="1"/>
  </cols>
  <sheetData>
    <row r="1" spans="1:5" ht="30" x14ac:dyDescent="0.4">
      <c r="A1" s="173" t="s">
        <v>373</v>
      </c>
      <c r="B1" s="173"/>
      <c r="C1" s="173"/>
      <c r="D1" s="173"/>
      <c r="E1" s="173"/>
    </row>
    <row r="2" spans="1:5" ht="74.25" customHeight="1" x14ac:dyDescent="0.2">
      <c r="A2" s="6"/>
      <c r="B2" s="176" t="s">
        <v>374</v>
      </c>
      <c r="C2" s="177"/>
      <c r="D2" s="177"/>
      <c r="E2" s="178"/>
    </row>
    <row r="3" spans="1:5" x14ac:dyDescent="0.2">
      <c r="A3" s="6" t="s">
        <v>257</v>
      </c>
      <c r="B3" s="8" t="s">
        <v>372</v>
      </c>
      <c r="C3" s="8" t="s">
        <v>278</v>
      </c>
      <c r="D3" s="8" t="s">
        <v>279</v>
      </c>
      <c r="E3" s="8" t="s">
        <v>280</v>
      </c>
    </row>
    <row r="4" spans="1:5" x14ac:dyDescent="0.2">
      <c r="A4" s="6" t="s">
        <v>362</v>
      </c>
      <c r="B4" s="7">
        <v>3</v>
      </c>
      <c r="C4" s="7" t="s">
        <v>281</v>
      </c>
      <c r="D4" s="7">
        <v>2</v>
      </c>
      <c r="E4" s="7">
        <v>1</v>
      </c>
    </row>
    <row r="5" spans="1:5" x14ac:dyDescent="0.2">
      <c r="A5" s="6" t="s">
        <v>403</v>
      </c>
      <c r="B5" s="7"/>
      <c r="C5" s="7"/>
      <c r="D5" s="7"/>
      <c r="E5" s="7"/>
    </row>
    <row r="6" spans="1:5" x14ac:dyDescent="0.2">
      <c r="A6" s="6" t="s">
        <v>404</v>
      </c>
      <c r="B6" s="7"/>
      <c r="C6" s="7"/>
      <c r="D6" s="7"/>
      <c r="E6" s="7"/>
    </row>
    <row r="7" spans="1:5" x14ac:dyDescent="0.2">
      <c r="A7" s="6" t="s">
        <v>360</v>
      </c>
      <c r="B7" s="7">
        <v>1</v>
      </c>
      <c r="C7" s="7">
        <v>3</v>
      </c>
      <c r="D7" s="7" t="s">
        <v>281</v>
      </c>
      <c r="E7" s="7">
        <v>2</v>
      </c>
    </row>
    <row r="8" spans="1:5" x14ac:dyDescent="0.2">
      <c r="A8" s="6" t="s">
        <v>405</v>
      </c>
      <c r="B8" s="7" t="s">
        <v>281</v>
      </c>
      <c r="C8" s="7">
        <v>1</v>
      </c>
      <c r="D8" s="7">
        <v>3</v>
      </c>
      <c r="E8" s="7">
        <v>2</v>
      </c>
    </row>
    <row r="9" spans="1:5" x14ac:dyDescent="0.2">
      <c r="A9" s="6" t="s">
        <v>406</v>
      </c>
      <c r="B9" s="7">
        <v>1</v>
      </c>
      <c r="C9" s="7"/>
      <c r="D9" s="7"/>
      <c r="E9" s="7"/>
    </row>
    <row r="10" spans="1:5" x14ac:dyDescent="0.2">
      <c r="A10" s="6" t="s">
        <v>346</v>
      </c>
      <c r="B10" s="7" t="s">
        <v>281</v>
      </c>
      <c r="C10" s="7">
        <v>1</v>
      </c>
      <c r="D10" s="7">
        <v>2</v>
      </c>
      <c r="E10" s="7">
        <v>3</v>
      </c>
    </row>
    <row r="11" spans="1:5" x14ac:dyDescent="0.2">
      <c r="A11" s="6" t="s">
        <v>398</v>
      </c>
      <c r="B11" s="7">
        <v>1</v>
      </c>
      <c r="C11" s="7">
        <v>3</v>
      </c>
      <c r="D11" s="7">
        <v>2</v>
      </c>
      <c r="E11" s="7" t="s">
        <v>281</v>
      </c>
    </row>
    <row r="12" spans="1:5" x14ac:dyDescent="0.2">
      <c r="A12" s="6" t="s">
        <v>376</v>
      </c>
      <c r="B12" s="7">
        <v>1</v>
      </c>
      <c r="C12" s="7">
        <v>3</v>
      </c>
      <c r="D12" s="7" t="s">
        <v>281</v>
      </c>
      <c r="E12" s="7">
        <v>2</v>
      </c>
    </row>
    <row r="13" spans="1:5" x14ac:dyDescent="0.2">
      <c r="A13" s="6" t="s">
        <v>334</v>
      </c>
      <c r="B13" s="7">
        <v>1</v>
      </c>
      <c r="C13" s="7">
        <v>2</v>
      </c>
      <c r="D13" s="7">
        <v>3</v>
      </c>
      <c r="E13" s="7"/>
    </row>
    <row r="14" spans="1:5" x14ac:dyDescent="0.2">
      <c r="A14" s="6" t="s">
        <v>363</v>
      </c>
      <c r="B14" s="7">
        <v>1</v>
      </c>
      <c r="C14" s="7" t="s">
        <v>281</v>
      </c>
      <c r="D14" s="7">
        <v>2</v>
      </c>
      <c r="E14" s="7">
        <v>3</v>
      </c>
    </row>
    <row r="15" spans="1:5" x14ac:dyDescent="0.2">
      <c r="A15" s="6" t="s">
        <v>79</v>
      </c>
      <c r="B15" s="7">
        <v>1</v>
      </c>
      <c r="C15" s="7" t="s">
        <v>281</v>
      </c>
      <c r="D15" s="7">
        <v>2</v>
      </c>
      <c r="E15" s="7">
        <v>3</v>
      </c>
    </row>
    <row r="16" spans="1:5" x14ac:dyDescent="0.2">
      <c r="A16" s="6" t="s">
        <v>333</v>
      </c>
      <c r="B16" s="7">
        <v>3</v>
      </c>
      <c r="C16" s="7" t="s">
        <v>281</v>
      </c>
      <c r="D16" s="7">
        <v>1</v>
      </c>
      <c r="E16" s="7">
        <v>2</v>
      </c>
    </row>
    <row r="17" spans="1:5" x14ac:dyDescent="0.2">
      <c r="A17" s="6" t="s">
        <v>364</v>
      </c>
      <c r="B17" s="7"/>
      <c r="C17" s="7"/>
      <c r="D17" s="7"/>
      <c r="E17" s="7"/>
    </row>
    <row r="18" spans="1:5" x14ac:dyDescent="0.2">
      <c r="A18" s="6" t="s">
        <v>407</v>
      </c>
      <c r="B18" s="7"/>
      <c r="C18" s="7"/>
      <c r="D18" s="7"/>
      <c r="E18" s="7"/>
    </row>
    <row r="19" spans="1:5" x14ac:dyDescent="0.2">
      <c r="A19" s="6" t="s">
        <v>355</v>
      </c>
      <c r="B19" s="7">
        <v>1</v>
      </c>
      <c r="C19" s="7">
        <v>2</v>
      </c>
      <c r="D19" s="7"/>
      <c r="E19" s="7"/>
    </row>
    <row r="20" spans="1:5" x14ac:dyDescent="0.2">
      <c r="A20" s="6" t="s">
        <v>365</v>
      </c>
      <c r="B20" s="7">
        <v>1</v>
      </c>
      <c r="C20" s="7">
        <v>2</v>
      </c>
      <c r="D20" s="7" t="s">
        <v>281</v>
      </c>
      <c r="E20" s="7">
        <v>3</v>
      </c>
    </row>
    <row r="21" spans="1:5" x14ac:dyDescent="0.2">
      <c r="A21" s="6" t="s">
        <v>408</v>
      </c>
      <c r="B21" s="7">
        <v>1</v>
      </c>
      <c r="C21" s="7">
        <v>3</v>
      </c>
      <c r="D21" s="7">
        <v>2</v>
      </c>
      <c r="E21" s="7" t="s">
        <v>281</v>
      </c>
    </row>
    <row r="22" spans="1:5" x14ac:dyDescent="0.2">
      <c r="A22" s="6" t="s">
        <v>409</v>
      </c>
      <c r="B22" s="7">
        <v>1</v>
      </c>
      <c r="C22" s="7"/>
      <c r="D22" s="7"/>
      <c r="E22" s="7"/>
    </row>
    <row r="23" spans="1:5" x14ac:dyDescent="0.2">
      <c r="A23" s="6" t="s">
        <v>340</v>
      </c>
      <c r="B23" s="7"/>
      <c r="C23" s="7"/>
      <c r="D23" s="7"/>
      <c r="E23" s="7"/>
    </row>
    <row r="24" spans="1:5" x14ac:dyDescent="0.2">
      <c r="A24" s="6" t="s">
        <v>337</v>
      </c>
      <c r="B24" s="7" t="s">
        <v>281</v>
      </c>
      <c r="C24" s="7">
        <v>3</v>
      </c>
      <c r="D24" s="7">
        <v>1</v>
      </c>
      <c r="E24" s="7">
        <v>2</v>
      </c>
    </row>
    <row r="25" spans="1:5" x14ac:dyDescent="0.2">
      <c r="A25" s="6" t="s">
        <v>410</v>
      </c>
      <c r="B25" s="7">
        <v>2</v>
      </c>
      <c r="C25" s="7">
        <v>3</v>
      </c>
      <c r="D25" s="7">
        <v>1</v>
      </c>
      <c r="E25" s="7"/>
    </row>
    <row r="26" spans="1:5" x14ac:dyDescent="0.2">
      <c r="A26" s="6" t="s">
        <v>366</v>
      </c>
      <c r="B26" s="7">
        <v>1</v>
      </c>
      <c r="C26" s="7" t="s">
        <v>281</v>
      </c>
      <c r="D26" s="7">
        <v>3</v>
      </c>
      <c r="E26" s="7">
        <v>2</v>
      </c>
    </row>
    <row r="27" spans="1:5" x14ac:dyDescent="0.2">
      <c r="A27" s="6" t="s">
        <v>361</v>
      </c>
      <c r="B27" s="7" t="s">
        <v>281</v>
      </c>
      <c r="C27" s="7">
        <v>1</v>
      </c>
      <c r="D27" s="7">
        <v>2</v>
      </c>
      <c r="E27" s="7">
        <v>3</v>
      </c>
    </row>
    <row r="28" spans="1:5" x14ac:dyDescent="0.2">
      <c r="A28" s="6" t="s">
        <v>335</v>
      </c>
      <c r="B28" s="7">
        <v>1</v>
      </c>
      <c r="C28" s="7">
        <v>2</v>
      </c>
      <c r="D28" s="7" t="s">
        <v>281</v>
      </c>
      <c r="E28" s="7">
        <v>3</v>
      </c>
    </row>
    <row r="29" spans="1:5" x14ac:dyDescent="0.2">
      <c r="A29" s="6" t="s">
        <v>349</v>
      </c>
      <c r="B29" s="7">
        <v>1</v>
      </c>
      <c r="C29" s="7">
        <v>2</v>
      </c>
      <c r="D29" s="7">
        <v>3</v>
      </c>
      <c r="E29" s="7"/>
    </row>
    <row r="30" spans="1:5" x14ac:dyDescent="0.2">
      <c r="A30" s="6" t="s">
        <v>402</v>
      </c>
      <c r="B30" s="7" t="s">
        <v>281</v>
      </c>
      <c r="C30" s="7">
        <v>1</v>
      </c>
      <c r="D30" s="7">
        <v>3</v>
      </c>
      <c r="E30" s="7">
        <v>2</v>
      </c>
    </row>
    <row r="31" spans="1:5" x14ac:dyDescent="0.2">
      <c r="A31" s="6" t="s">
        <v>399</v>
      </c>
      <c r="B31" s="7">
        <v>1</v>
      </c>
      <c r="C31" s="7">
        <v>2</v>
      </c>
      <c r="D31" s="7" t="s">
        <v>281</v>
      </c>
      <c r="E31" s="7">
        <v>3</v>
      </c>
    </row>
    <row r="32" spans="1:5" x14ac:dyDescent="0.2">
      <c r="A32" s="6" t="s">
        <v>400</v>
      </c>
      <c r="B32" s="7">
        <v>1</v>
      </c>
      <c r="C32" s="7" t="s">
        <v>281</v>
      </c>
      <c r="D32" s="7">
        <v>2</v>
      </c>
      <c r="E32" s="7">
        <v>3</v>
      </c>
    </row>
    <row r="33" spans="1:5" x14ac:dyDescent="0.2">
      <c r="A33" s="6" t="s">
        <v>401</v>
      </c>
      <c r="B33" s="7">
        <v>1</v>
      </c>
      <c r="C33" s="7" t="s">
        <v>281</v>
      </c>
      <c r="D33" s="7">
        <v>2</v>
      </c>
      <c r="E33" s="7">
        <v>3</v>
      </c>
    </row>
    <row r="34" spans="1:5" x14ac:dyDescent="0.2">
      <c r="A34" s="6" t="s">
        <v>341</v>
      </c>
      <c r="B34" s="7">
        <v>1</v>
      </c>
      <c r="C34" s="7">
        <v>3</v>
      </c>
      <c r="D34" s="7" t="s">
        <v>281</v>
      </c>
      <c r="E34" s="7">
        <v>2</v>
      </c>
    </row>
    <row r="35" spans="1:5" x14ac:dyDescent="0.2">
      <c r="A35" s="6" t="s">
        <v>411</v>
      </c>
      <c r="B35" s="7"/>
      <c r="C35" s="7"/>
      <c r="D35" s="7"/>
      <c r="E35" s="7"/>
    </row>
    <row r="36" spans="1:5" x14ac:dyDescent="0.2">
      <c r="A36" s="6" t="s">
        <v>412</v>
      </c>
      <c r="B36" s="7" t="s">
        <v>281</v>
      </c>
      <c r="C36" s="7">
        <v>1</v>
      </c>
      <c r="D36" s="7"/>
      <c r="E36" s="7"/>
    </row>
    <row r="37" spans="1:5" x14ac:dyDescent="0.2">
      <c r="A37" s="6" t="s">
        <v>367</v>
      </c>
      <c r="B37" s="10">
        <v>2</v>
      </c>
      <c r="C37" s="10">
        <v>2</v>
      </c>
      <c r="D37" s="10">
        <v>1</v>
      </c>
      <c r="E37" s="10">
        <v>1</v>
      </c>
    </row>
    <row r="38" spans="1:5" x14ac:dyDescent="0.2">
      <c r="A38" s="6" t="s">
        <v>413</v>
      </c>
      <c r="B38" s="7"/>
      <c r="C38" s="7"/>
      <c r="D38" s="7"/>
      <c r="E38" s="7"/>
    </row>
    <row r="39" spans="1:5" x14ac:dyDescent="0.2">
      <c r="A39" s="6" t="s">
        <v>414</v>
      </c>
      <c r="B39" s="7"/>
      <c r="C39" s="7"/>
      <c r="D39" s="7"/>
      <c r="E39" s="7"/>
    </row>
    <row r="40" spans="1:5" x14ac:dyDescent="0.2">
      <c r="A40" s="6" t="s">
        <v>342</v>
      </c>
      <c r="B40" s="10">
        <v>1</v>
      </c>
      <c r="C40" s="10">
        <v>2</v>
      </c>
      <c r="D40" s="10">
        <v>1</v>
      </c>
      <c r="E40" s="10">
        <v>2</v>
      </c>
    </row>
    <row r="41" spans="1:5" x14ac:dyDescent="0.2">
      <c r="A41" s="6" t="s">
        <v>343</v>
      </c>
      <c r="B41" s="7"/>
      <c r="C41" s="7"/>
      <c r="D41" s="7"/>
      <c r="E41" s="7"/>
    </row>
    <row r="42" spans="1:5" x14ac:dyDescent="0.2">
      <c r="A42" s="6" t="s">
        <v>415</v>
      </c>
      <c r="B42" s="7">
        <v>1</v>
      </c>
      <c r="C42" s="7"/>
      <c r="D42" s="7"/>
      <c r="E42" s="7"/>
    </row>
    <row r="43" spans="1:5" x14ac:dyDescent="0.2">
      <c r="A43" s="6" t="s">
        <v>416</v>
      </c>
      <c r="B43" s="7"/>
      <c r="C43" s="7"/>
      <c r="D43" s="7"/>
      <c r="E43" s="7"/>
    </row>
    <row r="44" spans="1:5" x14ac:dyDescent="0.2">
      <c r="A44" s="6" t="s">
        <v>347</v>
      </c>
      <c r="B44" s="7" t="s">
        <v>281</v>
      </c>
      <c r="C44" s="7">
        <v>1</v>
      </c>
      <c r="D44" s="7">
        <v>3</v>
      </c>
      <c r="E44" s="7">
        <v>2</v>
      </c>
    </row>
    <row r="45" spans="1:5" x14ac:dyDescent="0.2">
      <c r="A45" s="6" t="s">
        <v>350</v>
      </c>
      <c r="B45" s="7" t="s">
        <v>281</v>
      </c>
      <c r="C45" s="7">
        <v>1</v>
      </c>
      <c r="D45" s="7">
        <v>3</v>
      </c>
      <c r="E45" s="7">
        <v>2</v>
      </c>
    </row>
    <row r="46" spans="1:5" x14ac:dyDescent="0.2">
      <c r="A46" s="6" t="s">
        <v>351</v>
      </c>
      <c r="B46" s="7">
        <v>1</v>
      </c>
      <c r="C46" s="7" t="s">
        <v>281</v>
      </c>
      <c r="D46" s="7">
        <v>3</v>
      </c>
      <c r="E46" s="7">
        <v>2</v>
      </c>
    </row>
    <row r="47" spans="1:5" x14ac:dyDescent="0.2">
      <c r="A47" s="6" t="s">
        <v>344</v>
      </c>
      <c r="B47" s="7">
        <v>3</v>
      </c>
      <c r="C47" s="7">
        <v>1</v>
      </c>
      <c r="D47" s="7">
        <v>2</v>
      </c>
      <c r="E47" s="7" t="s">
        <v>281</v>
      </c>
    </row>
    <row r="48" spans="1:5" x14ac:dyDescent="0.2">
      <c r="A48" s="6" t="s">
        <v>417</v>
      </c>
      <c r="B48" s="7">
        <v>2</v>
      </c>
      <c r="C48" s="7">
        <v>3</v>
      </c>
      <c r="D48" s="7">
        <v>1</v>
      </c>
      <c r="E48" s="7" t="s">
        <v>281</v>
      </c>
    </row>
    <row r="49" spans="1:5" x14ac:dyDescent="0.2">
      <c r="A49" s="6" t="s">
        <v>418</v>
      </c>
      <c r="B49" s="7">
        <v>1</v>
      </c>
      <c r="C49" s="7" t="s">
        <v>281</v>
      </c>
      <c r="D49" s="7">
        <v>3</v>
      </c>
      <c r="E49" s="7">
        <v>2</v>
      </c>
    </row>
    <row r="50" spans="1:5" x14ac:dyDescent="0.2">
      <c r="A50" s="6" t="s">
        <v>358</v>
      </c>
      <c r="B50" s="7" t="s">
        <v>281</v>
      </c>
      <c r="C50" s="7">
        <v>1</v>
      </c>
      <c r="D50" s="7">
        <v>3</v>
      </c>
      <c r="E50" s="7">
        <v>2</v>
      </c>
    </row>
    <row r="51" spans="1:5" x14ac:dyDescent="0.2">
      <c r="A51" s="6" t="s">
        <v>356</v>
      </c>
      <c r="B51" s="7" t="s">
        <v>281</v>
      </c>
      <c r="C51" s="7">
        <v>2</v>
      </c>
      <c r="D51" s="7">
        <v>1</v>
      </c>
      <c r="E51" s="7"/>
    </row>
    <row r="52" spans="1:5" x14ac:dyDescent="0.2">
      <c r="A52" s="6" t="s">
        <v>419</v>
      </c>
      <c r="B52" s="7" t="s">
        <v>281</v>
      </c>
      <c r="C52" s="7">
        <v>1</v>
      </c>
      <c r="D52" s="7">
        <v>2</v>
      </c>
      <c r="E52" s="7">
        <v>3</v>
      </c>
    </row>
    <row r="53" spans="1:5" x14ac:dyDescent="0.2">
      <c r="A53" s="6" t="s">
        <v>420</v>
      </c>
      <c r="B53" s="7">
        <v>1</v>
      </c>
      <c r="C53" s="7"/>
      <c r="D53" s="7"/>
      <c r="E53" s="7"/>
    </row>
    <row r="54" spans="1:5" x14ac:dyDescent="0.2">
      <c r="A54" s="6" t="s">
        <v>421</v>
      </c>
      <c r="B54" s="7"/>
      <c r="C54" s="7"/>
      <c r="D54" s="7"/>
      <c r="E54" s="7"/>
    </row>
    <row r="55" spans="1:5" x14ac:dyDescent="0.2">
      <c r="A55" s="6" t="s">
        <v>422</v>
      </c>
      <c r="B55" s="7"/>
      <c r="C55" s="7"/>
      <c r="D55" s="7"/>
      <c r="E55" s="7"/>
    </row>
    <row r="56" spans="1:5" x14ac:dyDescent="0.2">
      <c r="A56" s="6" t="s">
        <v>423</v>
      </c>
      <c r="B56" s="7"/>
      <c r="C56" s="7"/>
      <c r="D56" s="7"/>
      <c r="E56" s="7"/>
    </row>
    <row r="57" spans="1:5" x14ac:dyDescent="0.2">
      <c r="A57" s="6" t="s">
        <v>352</v>
      </c>
      <c r="B57" s="7">
        <v>1</v>
      </c>
      <c r="C57" s="7">
        <v>3</v>
      </c>
      <c r="D57" s="7" t="s">
        <v>281</v>
      </c>
      <c r="E57" s="7">
        <v>2</v>
      </c>
    </row>
    <row r="58" spans="1:5" x14ac:dyDescent="0.2">
      <c r="A58" s="6" t="s">
        <v>345</v>
      </c>
      <c r="B58" s="7"/>
      <c r="C58" s="7"/>
      <c r="D58" s="7"/>
      <c r="E58" s="7"/>
    </row>
    <row r="59" spans="1:5" x14ac:dyDescent="0.2">
      <c r="A59" s="6" t="s">
        <v>368</v>
      </c>
      <c r="B59" s="7"/>
      <c r="C59" s="7"/>
      <c r="D59" s="7"/>
      <c r="E59" s="7"/>
    </row>
    <row r="60" spans="1:5" x14ac:dyDescent="0.2">
      <c r="A60" s="6" t="s">
        <v>369</v>
      </c>
      <c r="B60" s="10">
        <v>2</v>
      </c>
      <c r="C60" s="10">
        <v>1</v>
      </c>
      <c r="D60" s="10">
        <v>2</v>
      </c>
      <c r="E60" s="10">
        <v>3</v>
      </c>
    </row>
    <row r="61" spans="1:5" x14ac:dyDescent="0.2">
      <c r="A61" s="6" t="s">
        <v>424</v>
      </c>
      <c r="B61" s="7"/>
      <c r="C61" s="7"/>
      <c r="D61" s="7"/>
      <c r="E61" s="7"/>
    </row>
    <row r="62" spans="1:5" x14ac:dyDescent="0.2">
      <c r="A62" s="6" t="s">
        <v>432</v>
      </c>
      <c r="B62" s="7">
        <v>3</v>
      </c>
      <c r="C62" s="7">
        <v>1</v>
      </c>
      <c r="D62" s="7" t="s">
        <v>281</v>
      </c>
      <c r="E62" s="7">
        <v>2</v>
      </c>
    </row>
    <row r="63" spans="1:5" x14ac:dyDescent="0.2">
      <c r="A63" s="6" t="s">
        <v>425</v>
      </c>
      <c r="B63" s="7"/>
      <c r="C63" s="7"/>
      <c r="D63" s="7"/>
      <c r="E63" s="7"/>
    </row>
    <row r="64" spans="1:5" x14ac:dyDescent="0.2">
      <c r="A64" s="6" t="s">
        <v>426</v>
      </c>
      <c r="B64" s="7">
        <v>2</v>
      </c>
      <c r="C64" s="7">
        <v>1</v>
      </c>
      <c r="D64" s="7" t="s">
        <v>281</v>
      </c>
      <c r="E64" s="7">
        <v>3</v>
      </c>
    </row>
    <row r="65" spans="1:5" x14ac:dyDescent="0.2">
      <c r="A65" s="6" t="s">
        <v>370</v>
      </c>
      <c r="B65" s="7">
        <v>1</v>
      </c>
      <c r="C65" s="7" t="s">
        <v>281</v>
      </c>
      <c r="D65" s="7">
        <v>2</v>
      </c>
      <c r="E65" s="7">
        <v>3</v>
      </c>
    </row>
    <row r="66" spans="1:5" x14ac:dyDescent="0.2">
      <c r="A66" s="6" t="s">
        <v>338</v>
      </c>
      <c r="B66" s="7">
        <v>1</v>
      </c>
      <c r="C66" s="7">
        <v>3</v>
      </c>
      <c r="D66" s="7"/>
      <c r="E66" s="7"/>
    </row>
    <row r="67" spans="1:5" x14ac:dyDescent="0.2">
      <c r="A67" s="6" t="s">
        <v>348</v>
      </c>
      <c r="B67" s="7">
        <v>1</v>
      </c>
      <c r="C67" s="7">
        <v>2</v>
      </c>
      <c r="D67" s="7">
        <v>3</v>
      </c>
      <c r="E67" s="7" t="s">
        <v>281</v>
      </c>
    </row>
    <row r="68" spans="1:5" x14ac:dyDescent="0.2">
      <c r="A68" s="6" t="s">
        <v>427</v>
      </c>
      <c r="B68" s="7"/>
      <c r="C68" s="7"/>
      <c r="D68" s="7"/>
      <c r="E68" s="7"/>
    </row>
    <row r="69" spans="1:5" x14ac:dyDescent="0.2">
      <c r="A69" s="6" t="s">
        <v>359</v>
      </c>
      <c r="B69" s="7">
        <v>1</v>
      </c>
      <c r="C69" s="7">
        <v>3</v>
      </c>
      <c r="D69" s="7" t="s">
        <v>281</v>
      </c>
      <c r="E69" s="7">
        <v>2</v>
      </c>
    </row>
    <row r="70" spans="1:5" x14ac:dyDescent="0.2">
      <c r="A70" s="6" t="s">
        <v>428</v>
      </c>
      <c r="B70" s="7"/>
      <c r="C70" s="7"/>
      <c r="D70" s="7"/>
      <c r="E70" s="7"/>
    </row>
    <row r="71" spans="1:5" x14ac:dyDescent="0.2">
      <c r="A71" s="6" t="s">
        <v>429</v>
      </c>
      <c r="B71" s="10" t="s">
        <v>281</v>
      </c>
      <c r="C71" s="10" t="s">
        <v>281</v>
      </c>
      <c r="D71" s="10" t="s">
        <v>281</v>
      </c>
      <c r="E71" s="10" t="s">
        <v>281</v>
      </c>
    </row>
    <row r="72" spans="1:5" x14ac:dyDescent="0.2">
      <c r="A72" s="6" t="s">
        <v>371</v>
      </c>
      <c r="B72" s="7">
        <v>3</v>
      </c>
      <c r="C72" s="7">
        <v>1</v>
      </c>
      <c r="D72" s="7" t="s">
        <v>281</v>
      </c>
      <c r="E72" s="7">
        <v>2</v>
      </c>
    </row>
    <row r="73" spans="1:5" x14ac:dyDescent="0.2">
      <c r="A73" s="6" t="s">
        <v>357</v>
      </c>
      <c r="B73" s="7"/>
      <c r="C73" s="7"/>
      <c r="D73" s="7"/>
      <c r="E73" s="7"/>
    </row>
    <row r="74" spans="1:5" x14ac:dyDescent="0.2">
      <c r="A74" s="6" t="s">
        <v>430</v>
      </c>
      <c r="B74" s="7" t="s">
        <v>281</v>
      </c>
      <c r="C74" s="7">
        <v>2</v>
      </c>
      <c r="D74" s="7">
        <v>3</v>
      </c>
      <c r="E74" s="7">
        <v>1</v>
      </c>
    </row>
    <row r="75" spans="1:5" x14ac:dyDescent="0.2">
      <c r="A75" s="6" t="s">
        <v>354</v>
      </c>
      <c r="B75" s="7">
        <v>3</v>
      </c>
      <c r="C75" s="7">
        <v>1</v>
      </c>
      <c r="D75" s="7"/>
      <c r="E75" s="7"/>
    </row>
    <row r="76" spans="1:5" x14ac:dyDescent="0.2">
      <c r="A76" s="6" t="s">
        <v>353</v>
      </c>
      <c r="B76" s="7">
        <v>3</v>
      </c>
      <c r="C76" s="7">
        <v>1</v>
      </c>
      <c r="D76" s="7">
        <v>2</v>
      </c>
      <c r="E76" s="7" t="s">
        <v>281</v>
      </c>
    </row>
    <row r="77" spans="1:5" x14ac:dyDescent="0.2">
      <c r="A77" s="6" t="s">
        <v>336</v>
      </c>
      <c r="B77" s="10">
        <v>1</v>
      </c>
      <c r="C77" s="10"/>
      <c r="D77" s="10"/>
      <c r="E77" s="10"/>
    </row>
    <row r="78" spans="1:5" x14ac:dyDescent="0.2">
      <c r="A78" s="6" t="s">
        <v>431</v>
      </c>
      <c r="B78" s="7">
        <v>2</v>
      </c>
      <c r="C78" s="7"/>
      <c r="D78" s="7"/>
      <c r="E78" s="7"/>
    </row>
    <row r="79" spans="1:5" x14ac:dyDescent="0.2">
      <c r="A79" s="6" t="s">
        <v>339</v>
      </c>
      <c r="B79" s="7" t="s">
        <v>281</v>
      </c>
      <c r="C79" s="7">
        <v>1</v>
      </c>
      <c r="D79" s="7">
        <v>2</v>
      </c>
      <c r="E79" s="7">
        <v>3</v>
      </c>
    </row>
    <row r="80" spans="1:5" x14ac:dyDescent="0.2">
      <c r="A80" s="6" t="s">
        <v>434</v>
      </c>
      <c r="B80" s="7">
        <v>2</v>
      </c>
      <c r="C80" s="7">
        <v>1</v>
      </c>
      <c r="D80" s="7">
        <v>3</v>
      </c>
      <c r="E80" s="7" t="s">
        <v>281</v>
      </c>
    </row>
    <row r="81" spans="1:5" x14ac:dyDescent="0.2">
      <c r="A81" s="6" t="s">
        <v>435</v>
      </c>
      <c r="B81" s="7">
        <v>1</v>
      </c>
      <c r="C81" s="7">
        <v>2</v>
      </c>
      <c r="D81" s="7">
        <v>3</v>
      </c>
      <c r="E81" s="7"/>
    </row>
    <row r="82" spans="1:5" x14ac:dyDescent="0.2">
      <c r="A82" s="6" t="s">
        <v>436</v>
      </c>
      <c r="B82" s="7">
        <v>1</v>
      </c>
      <c r="C82" s="7">
        <v>3</v>
      </c>
      <c r="D82" s="7" t="s">
        <v>281</v>
      </c>
      <c r="E82" s="7"/>
    </row>
  </sheetData>
  <mergeCells count="2">
    <mergeCell ref="B2:E2"/>
    <mergeCell ref="A1:E1"/>
  </mergeCells>
  <pageMargins left="0.7" right="0.7" top="0.75" bottom="0.75" header="0.3" footer="0.3"/>
  <pageSetup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Direct Reports</vt:lpstr>
      <vt:lpstr>Training Matrix</vt:lpstr>
      <vt:lpstr>Seniority List_March 2016</vt:lpstr>
      <vt:lpstr>AWW OT Sheet</vt:lpstr>
      <vt:lpstr>2nd Shift OT Sheet</vt:lpstr>
      <vt:lpstr>Shift Preference 3-30-16</vt:lpstr>
      <vt:lpstr>Shift Preference_1-11-16</vt:lpstr>
      <vt:lpstr>Shift Preference_11-20-15</vt:lpstr>
      <vt:lpstr>'2nd Shift OT Sheet'!Print_Area</vt:lpstr>
      <vt:lpstr>'AWW OT Sheet'!Print_Area</vt:lpstr>
      <vt:lpstr>'Seniority List_March 2016'!Print_Area</vt:lpstr>
      <vt:lpstr>'Shift Preference 3-30-16'!Print_Area</vt:lpstr>
      <vt:lpstr>'Shift Preference_1-11-16'!Print_Area</vt:lpstr>
      <vt:lpstr>'Shift Preference_11-20-15'!Print_Area</vt:lpstr>
      <vt:lpstr>'2nd Shift OT Sheet'!Print_Titles</vt:lpstr>
      <vt:lpstr>'AWW OT Sheet'!Print_Titles</vt:lpstr>
      <vt:lpstr>'Shift Preference 3-30-16'!Print_Titles</vt:lpstr>
      <vt:lpstr>'Shift Preference_1-11-16'!Print_Titles</vt:lpstr>
      <vt:lpstr>'Shift Preference_11-20-15'!Print_Titles</vt:lpstr>
      <vt:lpstr>Shift</vt:lpstr>
      <vt:lpstr>'Training Matrix'!TrainingLevel</vt:lpstr>
      <vt:lpstr>UnionStatus</vt:lpstr>
      <vt:lpstr>WorkCenter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keywords>Non Technical</cp:keywords>
  <cp:lastModifiedBy>Cody Normington - RGBSI</cp:lastModifiedBy>
  <cp:lastPrinted>2016-06-08T00:38:05Z</cp:lastPrinted>
  <dcterms:created xsi:type="dcterms:W3CDTF">2015-07-22T11:10:59Z</dcterms:created>
  <dcterms:modified xsi:type="dcterms:W3CDTF">2016-06-21T14:18:02Z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70368001-ddd6-4c26-8f70-520e1750bd19</vt:lpwstr>
  </property>
  <property fmtid="{D5CDD505-2E9C-101B-9397-08002B2CF9AE}" pid="3" name="UTCTechnicalData">
    <vt:lpwstr>No</vt:lpwstr>
  </property>
  <property fmtid="{D5CDD505-2E9C-101B-9397-08002B2CF9AE}" pid="4" name="UTCTechnicalDataKeyword">
    <vt:lpwstr>Non Technical</vt:lpwstr>
  </property>
</Properties>
</file>