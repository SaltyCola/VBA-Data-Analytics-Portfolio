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15000" windowHeight="6825"/>
  </bookViews>
  <sheets>
    <sheet name="MRO" sheetId="1" r:id="rId1"/>
    <sheet name="On Hold List" sheetId="2" r:id="rId2"/>
    <sheet name="Ship Record" sheetId="3" r:id="rId3"/>
    <sheet name="Sheet1" sheetId="4" r:id="rId4"/>
  </sheets>
  <externalReferences>
    <externalReference r:id="rId5"/>
  </externalReferences>
  <definedNames>
    <definedName name="_xlnm.Print_Area" localSheetId="1">'On Hold List'!$A$1:$G$30</definedName>
    <definedName name="Status">[1]Details!$AP$3:$AP$6</definedName>
  </definedNames>
  <calcPr calcId="145621"/>
</workbook>
</file>

<file path=xl/calcChain.xml><?xml version="1.0" encoding="utf-8"?>
<calcChain xmlns="http://schemas.openxmlformats.org/spreadsheetml/2006/main">
  <c r="AK5" i="1" l="1"/>
  <c r="AL5" i="1"/>
  <c r="AM5" i="1"/>
  <c r="AN5" i="1"/>
  <c r="AK15" i="1"/>
  <c r="AL15" i="1"/>
  <c r="AM15" i="1"/>
  <c r="AL18" i="1"/>
  <c r="AK20" i="1"/>
  <c r="AK19" i="1" s="1"/>
  <c r="AL21" i="1"/>
  <c r="AL20" i="1" s="1"/>
  <c r="AL22" i="1"/>
  <c r="AM22" i="1"/>
  <c r="AM21" i="1" s="1"/>
  <c r="AM20" i="1" s="1"/>
  <c r="AM19" i="1" s="1"/>
  <c r="AM18" i="1" s="1"/>
  <c r="AM17" i="1" s="1"/>
  <c r="AM24" i="1"/>
  <c r="AN24" i="1"/>
  <c r="AK25" i="1"/>
  <c r="AK24" i="1" s="1"/>
  <c r="AK23" i="1" s="1"/>
  <c r="AS6" i="1" l="1"/>
  <c r="AS7" i="1"/>
  <c r="AS24" i="1"/>
  <c r="AS23" i="1" s="1"/>
  <c r="AS21" i="1" s="1"/>
  <c r="AS20" i="1" s="1"/>
  <c r="AS19" i="1" s="1"/>
  <c r="AS18" i="1" s="1"/>
  <c r="AS17" i="1" s="1"/>
  <c r="AS16" i="1" s="1"/>
  <c r="AS15" i="1" s="1"/>
  <c r="AS14" i="1" s="1"/>
  <c r="AS27" i="1"/>
  <c r="AS26" i="1" s="1"/>
  <c r="DE27" i="1" l="1"/>
  <c r="DE26" i="1" s="1"/>
  <c r="DE25" i="1" s="1"/>
  <c r="DE24" i="1" s="1"/>
  <c r="DE23" i="1" s="1"/>
  <c r="DE21" i="1" s="1"/>
  <c r="DE20" i="1" s="1"/>
  <c r="DE19" i="1" s="1"/>
  <c r="DE18" i="1" s="1"/>
  <c r="DE17" i="1" s="1"/>
  <c r="DE16" i="1" s="1"/>
  <c r="DE15" i="1" s="1"/>
  <c r="DE14" i="1" s="1"/>
  <c r="DD27" i="1"/>
  <c r="DD26" i="1" s="1"/>
  <c r="DD25" i="1" s="1"/>
  <c r="DD24" i="1" s="1"/>
  <c r="DD23" i="1" s="1"/>
  <c r="DD21" i="1" s="1"/>
  <c r="DD20" i="1" s="1"/>
  <c r="DD19" i="1" s="1"/>
  <c r="DD18" i="1" s="1"/>
  <c r="DD17" i="1" s="1"/>
  <c r="DD16" i="1" s="1"/>
  <c r="DD15" i="1" s="1"/>
  <c r="DD14" i="1" s="1"/>
  <c r="DC27" i="1"/>
  <c r="DC26" i="1" s="1"/>
  <c r="DC25" i="1" s="1"/>
  <c r="DC24" i="1" s="1"/>
  <c r="DC23" i="1" s="1"/>
  <c r="DC21" i="1" s="1"/>
  <c r="DC20" i="1" s="1"/>
  <c r="DC19" i="1" s="1"/>
  <c r="DC18" i="1" s="1"/>
  <c r="DC17" i="1" s="1"/>
  <c r="DC16" i="1" s="1"/>
  <c r="DC15" i="1" s="1"/>
  <c r="DC14" i="1" s="1"/>
  <c r="DB27" i="1"/>
  <c r="DB26" i="1" s="1"/>
  <c r="DB25" i="1" s="1"/>
  <c r="DB24" i="1" s="1"/>
  <c r="DB23" i="1" s="1"/>
  <c r="DB21" i="1" s="1"/>
  <c r="DB20" i="1" s="1"/>
  <c r="DB19" i="1" s="1"/>
  <c r="DB18" i="1" s="1"/>
  <c r="DB17" i="1" s="1"/>
  <c r="DB16" i="1" s="1"/>
  <c r="DB15" i="1" s="1"/>
  <c r="DB14" i="1" s="1"/>
  <c r="DA27" i="1"/>
  <c r="DA26" i="1" s="1"/>
  <c r="DA25" i="1" s="1"/>
  <c r="DA24" i="1" s="1"/>
  <c r="DA23" i="1" s="1"/>
  <c r="DA21" i="1" s="1"/>
  <c r="DA20" i="1" s="1"/>
  <c r="DA19" i="1" s="1"/>
  <c r="DA18" i="1" s="1"/>
  <c r="DA17" i="1" s="1"/>
  <c r="DA16" i="1" s="1"/>
  <c r="DA15" i="1" s="1"/>
  <c r="DA14" i="1" s="1"/>
  <c r="CZ27" i="1"/>
  <c r="CZ26" i="1" s="1"/>
  <c r="CZ25" i="1" s="1"/>
  <c r="CZ24" i="1" s="1"/>
  <c r="CZ23" i="1" s="1"/>
  <c r="CZ21" i="1" s="1"/>
  <c r="CZ20" i="1" s="1"/>
  <c r="CZ19" i="1" s="1"/>
  <c r="CZ18" i="1" s="1"/>
  <c r="CZ17" i="1" s="1"/>
  <c r="CZ16" i="1" s="1"/>
  <c r="CZ15" i="1" s="1"/>
  <c r="CZ14" i="1" s="1"/>
  <c r="CY27" i="1"/>
  <c r="CY26" i="1" s="1"/>
  <c r="CY25" i="1" s="1"/>
  <c r="CY24" i="1" s="1"/>
  <c r="CY23" i="1" s="1"/>
  <c r="CY21" i="1" s="1"/>
  <c r="CY20" i="1" s="1"/>
  <c r="CY19" i="1" s="1"/>
  <c r="CY18" i="1" s="1"/>
  <c r="CY17" i="1" s="1"/>
  <c r="CY16" i="1" s="1"/>
  <c r="CY15" i="1" s="1"/>
  <c r="CY14" i="1" s="1"/>
  <c r="CX27" i="1"/>
  <c r="CX26" i="1" s="1"/>
  <c r="CX25" i="1" s="1"/>
  <c r="CX24" i="1" s="1"/>
  <c r="CX23" i="1" s="1"/>
  <c r="CX21" i="1" s="1"/>
  <c r="CX20" i="1" s="1"/>
  <c r="CX19" i="1" s="1"/>
  <c r="CX18" i="1" s="1"/>
  <c r="CX17" i="1" s="1"/>
  <c r="CX16" i="1" s="1"/>
  <c r="CX15" i="1" s="1"/>
  <c r="CX14" i="1" s="1"/>
  <c r="CW27" i="1"/>
  <c r="CW26" i="1" s="1"/>
  <c r="CW25" i="1" s="1"/>
  <c r="CW24" i="1" s="1"/>
  <c r="CW23" i="1" s="1"/>
  <c r="CW21" i="1" s="1"/>
  <c r="CW20" i="1" s="1"/>
  <c r="CW19" i="1" s="1"/>
  <c r="CW18" i="1" s="1"/>
  <c r="CW17" i="1" s="1"/>
  <c r="CW16" i="1" s="1"/>
  <c r="CW15" i="1" s="1"/>
  <c r="CW14" i="1" s="1"/>
  <c r="CV27" i="1"/>
  <c r="CV26" i="1" s="1"/>
  <c r="CV25" i="1" s="1"/>
  <c r="CV24" i="1" s="1"/>
  <c r="CV23" i="1" s="1"/>
  <c r="CV21" i="1" s="1"/>
  <c r="CV20" i="1" s="1"/>
  <c r="CV19" i="1" s="1"/>
  <c r="CV18" i="1" s="1"/>
  <c r="CV17" i="1" s="1"/>
  <c r="CV16" i="1" s="1"/>
  <c r="CV15" i="1" s="1"/>
  <c r="CV14" i="1" s="1"/>
  <c r="CU27" i="1"/>
  <c r="CU26" i="1" s="1"/>
  <c r="CU25" i="1" s="1"/>
  <c r="CU24" i="1" s="1"/>
  <c r="CU23" i="1" s="1"/>
  <c r="CU21" i="1" s="1"/>
  <c r="CU20" i="1" s="1"/>
  <c r="CU19" i="1" s="1"/>
  <c r="CU18" i="1" s="1"/>
  <c r="CU17" i="1" s="1"/>
  <c r="CU16" i="1" s="1"/>
  <c r="CU15" i="1" s="1"/>
  <c r="CU14" i="1" s="1"/>
  <c r="CT27" i="1"/>
  <c r="CT26" i="1" s="1"/>
  <c r="CT25" i="1" s="1"/>
  <c r="CT24" i="1" s="1"/>
  <c r="CT23" i="1" s="1"/>
  <c r="CT21" i="1" s="1"/>
  <c r="CT20" i="1" s="1"/>
  <c r="CT19" i="1" s="1"/>
  <c r="CT18" i="1" s="1"/>
  <c r="CT17" i="1" s="1"/>
  <c r="CT16" i="1" s="1"/>
  <c r="CT15" i="1" s="1"/>
  <c r="CT14" i="1" s="1"/>
  <c r="CS27" i="1"/>
  <c r="CS26" i="1" s="1"/>
  <c r="CS25" i="1" s="1"/>
  <c r="CS24" i="1" s="1"/>
  <c r="CS23" i="1" s="1"/>
  <c r="CS21" i="1" s="1"/>
  <c r="CS20" i="1" s="1"/>
  <c r="CS19" i="1" s="1"/>
  <c r="CS18" i="1" s="1"/>
  <c r="CS17" i="1" s="1"/>
  <c r="CS16" i="1" s="1"/>
  <c r="CS15" i="1" s="1"/>
  <c r="CS14" i="1" s="1"/>
  <c r="CR27" i="1"/>
  <c r="CR26" i="1" s="1"/>
  <c r="CR25" i="1" s="1"/>
  <c r="CR24" i="1" s="1"/>
  <c r="CR23" i="1" s="1"/>
  <c r="CR21" i="1" s="1"/>
  <c r="CR20" i="1" s="1"/>
  <c r="CR19" i="1" s="1"/>
  <c r="CR18" i="1" s="1"/>
  <c r="CR17" i="1" s="1"/>
  <c r="CR16" i="1" s="1"/>
  <c r="CR15" i="1" s="1"/>
  <c r="CR14" i="1" s="1"/>
  <c r="CQ27" i="1"/>
  <c r="CQ26" i="1" s="1"/>
  <c r="CQ25" i="1" s="1"/>
  <c r="CQ24" i="1" s="1"/>
  <c r="CQ23" i="1" s="1"/>
  <c r="CQ21" i="1" s="1"/>
  <c r="CQ20" i="1" s="1"/>
  <c r="CQ19" i="1" s="1"/>
  <c r="CQ18" i="1" s="1"/>
  <c r="CQ17" i="1" s="1"/>
  <c r="CQ16" i="1" s="1"/>
  <c r="CQ15" i="1" s="1"/>
  <c r="CQ14" i="1" s="1"/>
  <c r="CP27" i="1"/>
  <c r="CP26" i="1" s="1"/>
  <c r="CP25" i="1" s="1"/>
  <c r="CP24" i="1" s="1"/>
  <c r="CP23" i="1" s="1"/>
  <c r="CP21" i="1" s="1"/>
  <c r="CP20" i="1" s="1"/>
  <c r="CP19" i="1" s="1"/>
  <c r="CP18" i="1" s="1"/>
  <c r="CP17" i="1" s="1"/>
  <c r="CP16" i="1" s="1"/>
  <c r="CP15" i="1" s="1"/>
  <c r="CP14" i="1" s="1"/>
  <c r="CO27" i="1"/>
  <c r="CO26" i="1" s="1"/>
  <c r="CO25" i="1" s="1"/>
  <c r="CO24" i="1" s="1"/>
  <c r="CO23" i="1" s="1"/>
  <c r="CO21" i="1" s="1"/>
  <c r="CO20" i="1" s="1"/>
  <c r="CO19" i="1" s="1"/>
  <c r="CO18" i="1" s="1"/>
  <c r="CO17" i="1" s="1"/>
  <c r="CO16" i="1" s="1"/>
  <c r="CO15" i="1" s="1"/>
  <c r="CO14" i="1" s="1"/>
  <c r="CN27" i="1"/>
  <c r="CN26" i="1" s="1"/>
  <c r="CN25" i="1" s="1"/>
  <c r="CN24" i="1" s="1"/>
  <c r="CN23" i="1" s="1"/>
  <c r="CN21" i="1" s="1"/>
  <c r="CN20" i="1" s="1"/>
  <c r="CN19" i="1" s="1"/>
  <c r="CN18" i="1" s="1"/>
  <c r="CN17" i="1" s="1"/>
  <c r="CN16" i="1" s="1"/>
  <c r="CN15" i="1" s="1"/>
  <c r="CN14" i="1" s="1"/>
  <c r="CM27" i="1"/>
  <c r="CM26" i="1" s="1"/>
  <c r="CM25" i="1" s="1"/>
  <c r="CM24" i="1" s="1"/>
  <c r="CM23" i="1" s="1"/>
  <c r="CM21" i="1" s="1"/>
  <c r="CM20" i="1" s="1"/>
  <c r="CM19" i="1" s="1"/>
  <c r="CM18" i="1" s="1"/>
  <c r="CM17" i="1" s="1"/>
  <c r="CM16" i="1" s="1"/>
  <c r="CM15" i="1" s="1"/>
  <c r="CM14" i="1" s="1"/>
  <c r="CL27" i="1"/>
  <c r="CL26" i="1" s="1"/>
  <c r="CL25" i="1" s="1"/>
  <c r="CL24" i="1" s="1"/>
  <c r="CL23" i="1" s="1"/>
  <c r="CL21" i="1" s="1"/>
  <c r="CL20" i="1" s="1"/>
  <c r="CL19" i="1" s="1"/>
  <c r="CL18" i="1" s="1"/>
  <c r="CL17" i="1" s="1"/>
  <c r="CL16" i="1" s="1"/>
  <c r="CL15" i="1" s="1"/>
  <c r="CL14" i="1" s="1"/>
  <c r="CK27" i="1"/>
  <c r="CK26" i="1" s="1"/>
  <c r="CK25" i="1" s="1"/>
  <c r="CK24" i="1" s="1"/>
  <c r="CK23" i="1" s="1"/>
  <c r="CK21" i="1" s="1"/>
  <c r="CK20" i="1" s="1"/>
  <c r="CK19" i="1" s="1"/>
  <c r="CK18" i="1" s="1"/>
  <c r="CK17" i="1" s="1"/>
  <c r="CK16" i="1" s="1"/>
  <c r="CK15" i="1" s="1"/>
  <c r="CK14" i="1" s="1"/>
  <c r="CJ27" i="1"/>
  <c r="CJ26" i="1" s="1"/>
  <c r="CJ25" i="1" s="1"/>
  <c r="CJ24" i="1" s="1"/>
  <c r="CJ23" i="1" s="1"/>
  <c r="CJ21" i="1" s="1"/>
  <c r="CJ20" i="1" s="1"/>
  <c r="CJ19" i="1" s="1"/>
  <c r="CJ18" i="1" s="1"/>
  <c r="CJ17" i="1" s="1"/>
  <c r="CJ16" i="1" s="1"/>
  <c r="CJ15" i="1" s="1"/>
  <c r="CJ14" i="1" s="1"/>
  <c r="CI27" i="1"/>
  <c r="CI26" i="1" s="1"/>
  <c r="CI25" i="1" s="1"/>
  <c r="CI24" i="1" s="1"/>
  <c r="CI23" i="1" s="1"/>
  <c r="CI21" i="1" s="1"/>
  <c r="CI20" i="1" s="1"/>
  <c r="CI19" i="1" s="1"/>
  <c r="CI18" i="1" s="1"/>
  <c r="CI17" i="1" s="1"/>
  <c r="CI16" i="1" s="1"/>
  <c r="CI15" i="1" s="1"/>
  <c r="CI14" i="1" s="1"/>
  <c r="CH27" i="1"/>
  <c r="CH26" i="1" s="1"/>
  <c r="CH25" i="1" s="1"/>
  <c r="CH24" i="1" s="1"/>
  <c r="CH23" i="1" s="1"/>
  <c r="CH21" i="1" s="1"/>
  <c r="CH20" i="1" s="1"/>
  <c r="CH19" i="1" s="1"/>
  <c r="CH18" i="1" s="1"/>
  <c r="CH17" i="1" s="1"/>
  <c r="CH16" i="1" s="1"/>
  <c r="CH15" i="1" s="1"/>
  <c r="CH14" i="1" s="1"/>
  <c r="CG27" i="1"/>
  <c r="CG26" i="1" s="1"/>
  <c r="CG25" i="1" s="1"/>
  <c r="CG24" i="1" s="1"/>
  <c r="CG23" i="1" s="1"/>
  <c r="CG21" i="1" s="1"/>
  <c r="CG20" i="1" s="1"/>
  <c r="CG19" i="1" s="1"/>
  <c r="CG18" i="1" s="1"/>
  <c r="CG17" i="1" s="1"/>
  <c r="CG16" i="1" s="1"/>
  <c r="CG15" i="1" s="1"/>
  <c r="CG14" i="1" s="1"/>
  <c r="CF27" i="1"/>
  <c r="CF26" i="1" s="1"/>
  <c r="CF25" i="1" s="1"/>
  <c r="CF24" i="1" s="1"/>
  <c r="CF23" i="1" s="1"/>
  <c r="CF21" i="1" s="1"/>
  <c r="CF20" i="1" s="1"/>
  <c r="CF19" i="1" s="1"/>
  <c r="CF18" i="1" s="1"/>
  <c r="CF17" i="1" s="1"/>
  <c r="CF16" i="1" s="1"/>
  <c r="CF15" i="1" s="1"/>
  <c r="CF14" i="1" s="1"/>
  <c r="CE27" i="1"/>
  <c r="CE26" i="1" s="1"/>
  <c r="CE25" i="1" s="1"/>
  <c r="CE24" i="1" s="1"/>
  <c r="CE23" i="1" s="1"/>
  <c r="CE21" i="1" s="1"/>
  <c r="CE20" i="1" s="1"/>
  <c r="CE19" i="1" s="1"/>
  <c r="CE18" i="1" s="1"/>
  <c r="CE17" i="1" s="1"/>
  <c r="CE16" i="1" s="1"/>
  <c r="CE15" i="1" s="1"/>
  <c r="CE14" i="1" s="1"/>
  <c r="CD27" i="1"/>
  <c r="CD26" i="1" s="1"/>
  <c r="CD25" i="1" s="1"/>
  <c r="CD24" i="1" s="1"/>
  <c r="CD23" i="1" s="1"/>
  <c r="CD21" i="1" s="1"/>
  <c r="CD20" i="1" s="1"/>
  <c r="CD19" i="1" s="1"/>
  <c r="CD18" i="1" s="1"/>
  <c r="CD17" i="1" s="1"/>
  <c r="CD16" i="1" s="1"/>
  <c r="CD15" i="1" s="1"/>
  <c r="CD14" i="1" s="1"/>
  <c r="CC27" i="1"/>
  <c r="CC26" i="1" s="1"/>
  <c r="CC25" i="1" s="1"/>
  <c r="CC24" i="1" s="1"/>
  <c r="CC23" i="1" s="1"/>
  <c r="CC21" i="1" s="1"/>
  <c r="CC20" i="1" s="1"/>
  <c r="CC19" i="1" s="1"/>
  <c r="CC18" i="1" s="1"/>
  <c r="CC17" i="1" s="1"/>
  <c r="CC16" i="1" s="1"/>
  <c r="CC15" i="1" s="1"/>
  <c r="CC14" i="1" s="1"/>
  <c r="CB27" i="1"/>
  <c r="CB26" i="1" s="1"/>
  <c r="CB25" i="1" s="1"/>
  <c r="CB24" i="1" s="1"/>
  <c r="CB23" i="1" s="1"/>
  <c r="CB21" i="1" s="1"/>
  <c r="CB20" i="1" s="1"/>
  <c r="CB19" i="1" s="1"/>
  <c r="CB18" i="1" s="1"/>
  <c r="CB17" i="1" s="1"/>
  <c r="CB16" i="1" s="1"/>
  <c r="CB15" i="1" s="1"/>
  <c r="CB14" i="1" s="1"/>
  <c r="CA27" i="1"/>
  <c r="CA26" i="1" s="1"/>
  <c r="CA25" i="1" s="1"/>
  <c r="CA24" i="1" s="1"/>
  <c r="CA23" i="1" s="1"/>
  <c r="CA21" i="1" s="1"/>
  <c r="CA20" i="1" s="1"/>
  <c r="CA19" i="1" s="1"/>
  <c r="CA18" i="1" s="1"/>
  <c r="CA17" i="1" s="1"/>
  <c r="CA16" i="1" s="1"/>
  <c r="CA15" i="1" s="1"/>
  <c r="CA14" i="1" s="1"/>
  <c r="BZ27" i="1"/>
  <c r="BZ26" i="1" s="1"/>
  <c r="BZ25" i="1" s="1"/>
  <c r="BZ24" i="1" s="1"/>
  <c r="BZ23" i="1" s="1"/>
  <c r="BZ21" i="1" s="1"/>
  <c r="BZ20" i="1" s="1"/>
  <c r="BZ19" i="1" s="1"/>
  <c r="BZ18" i="1" s="1"/>
  <c r="BZ17" i="1" s="1"/>
  <c r="BZ16" i="1" s="1"/>
  <c r="BZ15" i="1" s="1"/>
  <c r="BZ14" i="1" s="1"/>
  <c r="BY27" i="1"/>
  <c r="BY26" i="1" s="1"/>
  <c r="BY25" i="1" s="1"/>
  <c r="BY24" i="1" s="1"/>
  <c r="BY23" i="1" s="1"/>
  <c r="BY21" i="1" s="1"/>
  <c r="BY20" i="1" s="1"/>
  <c r="BY19" i="1" s="1"/>
  <c r="BY18" i="1" s="1"/>
  <c r="BY17" i="1" s="1"/>
  <c r="BY16" i="1" s="1"/>
  <c r="BY15" i="1" s="1"/>
  <c r="BY14" i="1" s="1"/>
  <c r="BX27" i="1"/>
  <c r="BX26" i="1" s="1"/>
  <c r="BX25" i="1" s="1"/>
  <c r="BX24" i="1" s="1"/>
  <c r="BX23" i="1" s="1"/>
  <c r="BX21" i="1" s="1"/>
  <c r="BX20" i="1" s="1"/>
  <c r="BX19" i="1" s="1"/>
  <c r="BX18" i="1" s="1"/>
  <c r="BX17" i="1" s="1"/>
  <c r="BX16" i="1" s="1"/>
  <c r="BX15" i="1" s="1"/>
  <c r="BX14" i="1" s="1"/>
  <c r="BW27" i="1"/>
  <c r="BW26" i="1" s="1"/>
  <c r="BW25" i="1" s="1"/>
  <c r="BW24" i="1" s="1"/>
  <c r="BW23" i="1" s="1"/>
  <c r="BW21" i="1" s="1"/>
  <c r="BW20" i="1" s="1"/>
  <c r="BW19" i="1" s="1"/>
  <c r="BW18" i="1" s="1"/>
  <c r="BW17" i="1" s="1"/>
  <c r="BW16" i="1" s="1"/>
  <c r="BW15" i="1" s="1"/>
  <c r="BW14" i="1" s="1"/>
  <c r="BV27" i="1"/>
  <c r="BV26" i="1" s="1"/>
  <c r="BV25" i="1" s="1"/>
  <c r="BV24" i="1" s="1"/>
  <c r="BV23" i="1" s="1"/>
  <c r="BV21" i="1" s="1"/>
  <c r="BV20" i="1" s="1"/>
  <c r="BV19" i="1" s="1"/>
  <c r="BV18" i="1" s="1"/>
  <c r="BV17" i="1" s="1"/>
  <c r="BV16" i="1" s="1"/>
  <c r="BV15" i="1" s="1"/>
  <c r="BV14" i="1" s="1"/>
  <c r="BU27" i="1"/>
  <c r="BU26" i="1" s="1"/>
  <c r="BU25" i="1" s="1"/>
  <c r="BU24" i="1" s="1"/>
  <c r="BU23" i="1" s="1"/>
  <c r="BU21" i="1" s="1"/>
  <c r="BU20" i="1" s="1"/>
  <c r="BU19" i="1" s="1"/>
  <c r="BU18" i="1" s="1"/>
  <c r="BU17" i="1" s="1"/>
  <c r="BU16" i="1" s="1"/>
  <c r="BU15" i="1" s="1"/>
  <c r="BU14" i="1" s="1"/>
  <c r="BT27" i="1"/>
  <c r="BT26" i="1" s="1"/>
  <c r="BT25" i="1" s="1"/>
  <c r="BT24" i="1" s="1"/>
  <c r="BT23" i="1" s="1"/>
  <c r="BT21" i="1" s="1"/>
  <c r="BT20" i="1" s="1"/>
  <c r="BT19" i="1" s="1"/>
  <c r="BT18" i="1" s="1"/>
  <c r="BT17" i="1" s="1"/>
  <c r="BT16" i="1" s="1"/>
  <c r="BT15" i="1" s="1"/>
  <c r="BT14" i="1" s="1"/>
  <c r="BS27" i="1"/>
  <c r="BS26" i="1" s="1"/>
  <c r="BS25" i="1" s="1"/>
  <c r="BS24" i="1" s="1"/>
  <c r="BS23" i="1" s="1"/>
  <c r="BS21" i="1" s="1"/>
  <c r="BS20" i="1" s="1"/>
  <c r="BS19" i="1" s="1"/>
  <c r="BS18" i="1" s="1"/>
  <c r="BS17" i="1" s="1"/>
  <c r="BS16" i="1" s="1"/>
  <c r="BS15" i="1" s="1"/>
  <c r="BS14" i="1" s="1"/>
  <c r="BR27" i="1"/>
  <c r="BR26" i="1" s="1"/>
  <c r="BR25" i="1" s="1"/>
  <c r="BR24" i="1" s="1"/>
  <c r="BR23" i="1" s="1"/>
  <c r="BR21" i="1" s="1"/>
  <c r="BR20" i="1" s="1"/>
  <c r="BR19" i="1" s="1"/>
  <c r="BR18" i="1" s="1"/>
  <c r="BR17" i="1" s="1"/>
  <c r="BR16" i="1" s="1"/>
  <c r="BR15" i="1" s="1"/>
  <c r="BR14" i="1" s="1"/>
  <c r="BQ27" i="1"/>
  <c r="BQ26" i="1" s="1"/>
  <c r="BQ25" i="1" s="1"/>
  <c r="BQ24" i="1" s="1"/>
  <c r="BQ23" i="1" s="1"/>
  <c r="BQ21" i="1" s="1"/>
  <c r="BQ20" i="1" s="1"/>
  <c r="BQ19" i="1" s="1"/>
  <c r="BQ18" i="1" s="1"/>
  <c r="BQ17" i="1" s="1"/>
  <c r="BQ16" i="1" s="1"/>
  <c r="BQ15" i="1" s="1"/>
  <c r="BQ14" i="1" s="1"/>
  <c r="BP27" i="1"/>
  <c r="BP26" i="1" s="1"/>
  <c r="BP25" i="1" s="1"/>
  <c r="BP24" i="1" s="1"/>
  <c r="BP23" i="1" s="1"/>
  <c r="BP21" i="1" s="1"/>
  <c r="BP20" i="1" s="1"/>
  <c r="BP19" i="1" s="1"/>
  <c r="BP18" i="1" s="1"/>
  <c r="BP17" i="1" s="1"/>
  <c r="BP16" i="1" s="1"/>
  <c r="BP15" i="1" s="1"/>
  <c r="BP14" i="1" s="1"/>
  <c r="BO27" i="1"/>
  <c r="BO26" i="1" s="1"/>
  <c r="BO25" i="1" s="1"/>
  <c r="BO24" i="1" s="1"/>
  <c r="BO23" i="1" s="1"/>
  <c r="BO21" i="1" s="1"/>
  <c r="BO20" i="1" s="1"/>
  <c r="BO19" i="1" s="1"/>
  <c r="BO18" i="1" s="1"/>
  <c r="BO17" i="1" s="1"/>
  <c r="BO16" i="1" s="1"/>
  <c r="BO15" i="1" s="1"/>
  <c r="BO14" i="1" s="1"/>
  <c r="BN27" i="1"/>
  <c r="BN26" i="1" s="1"/>
  <c r="BN25" i="1" s="1"/>
  <c r="BN24" i="1" s="1"/>
  <c r="BN23" i="1" s="1"/>
  <c r="BN21" i="1" s="1"/>
  <c r="BN20" i="1" s="1"/>
  <c r="BN19" i="1" s="1"/>
  <c r="BN18" i="1" s="1"/>
  <c r="BN17" i="1" s="1"/>
  <c r="BN16" i="1" s="1"/>
  <c r="BN15" i="1" s="1"/>
  <c r="BN14" i="1" s="1"/>
  <c r="BM27" i="1"/>
  <c r="BM26" i="1" s="1"/>
  <c r="BM25" i="1" s="1"/>
  <c r="BM24" i="1" s="1"/>
  <c r="BM23" i="1" s="1"/>
  <c r="BM21" i="1" s="1"/>
  <c r="BM20" i="1" s="1"/>
  <c r="BM19" i="1" s="1"/>
  <c r="BM18" i="1" s="1"/>
  <c r="BM17" i="1" s="1"/>
  <c r="BM16" i="1" s="1"/>
  <c r="BM15" i="1" s="1"/>
  <c r="BM14" i="1" s="1"/>
  <c r="BL27" i="1"/>
  <c r="BL26" i="1" s="1"/>
  <c r="BL25" i="1" s="1"/>
  <c r="BL24" i="1" s="1"/>
  <c r="BL23" i="1" s="1"/>
  <c r="BL21" i="1" s="1"/>
  <c r="BL20" i="1" s="1"/>
  <c r="BL19" i="1" s="1"/>
  <c r="BL18" i="1" s="1"/>
  <c r="BL17" i="1" s="1"/>
  <c r="BL16" i="1" s="1"/>
  <c r="BL15" i="1" s="1"/>
  <c r="BL14" i="1" s="1"/>
  <c r="BK27" i="1"/>
  <c r="BK26" i="1" s="1"/>
  <c r="BK25" i="1" s="1"/>
  <c r="BK24" i="1" s="1"/>
  <c r="BK23" i="1" s="1"/>
  <c r="BK21" i="1" s="1"/>
  <c r="BK20" i="1" s="1"/>
  <c r="BK19" i="1" s="1"/>
  <c r="BK18" i="1" s="1"/>
  <c r="BK17" i="1" s="1"/>
  <c r="BK16" i="1" s="1"/>
  <c r="BK15" i="1" s="1"/>
  <c r="BK14" i="1" s="1"/>
  <c r="BJ27" i="1"/>
  <c r="BJ26" i="1" s="1"/>
  <c r="BJ25" i="1" s="1"/>
  <c r="BJ24" i="1" s="1"/>
  <c r="BJ23" i="1" s="1"/>
  <c r="BJ21" i="1" s="1"/>
  <c r="BJ20" i="1" s="1"/>
  <c r="BJ19" i="1" s="1"/>
  <c r="BJ18" i="1" s="1"/>
  <c r="BJ17" i="1" s="1"/>
  <c r="BJ16" i="1" s="1"/>
  <c r="BJ15" i="1" s="1"/>
  <c r="BJ14" i="1" s="1"/>
  <c r="BI27" i="1"/>
  <c r="BI26" i="1" s="1"/>
  <c r="BI25" i="1" s="1"/>
  <c r="BI24" i="1" s="1"/>
  <c r="BI23" i="1" s="1"/>
  <c r="BI21" i="1" s="1"/>
  <c r="BI20" i="1" s="1"/>
  <c r="BI19" i="1" s="1"/>
  <c r="BI18" i="1" s="1"/>
  <c r="BI17" i="1" s="1"/>
  <c r="BI16" i="1" s="1"/>
  <c r="BI15" i="1" s="1"/>
  <c r="BI14" i="1" s="1"/>
  <c r="BH27" i="1"/>
  <c r="BH26" i="1" s="1"/>
  <c r="BH25" i="1" s="1"/>
  <c r="BH24" i="1" s="1"/>
  <c r="BH23" i="1" s="1"/>
  <c r="BH21" i="1" s="1"/>
  <c r="BH20" i="1" s="1"/>
  <c r="BH19" i="1" s="1"/>
  <c r="BH18" i="1" s="1"/>
  <c r="BH17" i="1" s="1"/>
  <c r="BH16" i="1" s="1"/>
  <c r="BH15" i="1" s="1"/>
  <c r="BH14" i="1" s="1"/>
  <c r="BG27" i="1"/>
  <c r="BG26" i="1" s="1"/>
  <c r="BG25" i="1" s="1"/>
  <c r="BG24" i="1" s="1"/>
  <c r="BG23" i="1" s="1"/>
  <c r="BG21" i="1" s="1"/>
  <c r="BG20" i="1" s="1"/>
  <c r="BG19" i="1" s="1"/>
  <c r="BG18" i="1" s="1"/>
  <c r="BG17" i="1" s="1"/>
  <c r="BG16" i="1" s="1"/>
  <c r="BG15" i="1" s="1"/>
  <c r="BG14" i="1" s="1"/>
  <c r="BF27" i="1"/>
  <c r="BF26" i="1" s="1"/>
  <c r="BF25" i="1" s="1"/>
  <c r="BF24" i="1" s="1"/>
  <c r="BF23" i="1" s="1"/>
  <c r="BF21" i="1" s="1"/>
  <c r="BF20" i="1" s="1"/>
  <c r="BF19" i="1" s="1"/>
  <c r="BF18" i="1" s="1"/>
  <c r="BF17" i="1" s="1"/>
  <c r="BF16" i="1" s="1"/>
  <c r="BF15" i="1" s="1"/>
  <c r="BF14" i="1" s="1"/>
  <c r="AD27" i="1"/>
  <c r="AD26" i="1" s="1"/>
  <c r="AD25" i="1" s="1"/>
  <c r="AD24" i="1" s="1"/>
  <c r="AD23" i="1" s="1"/>
  <c r="AD21" i="1" s="1"/>
  <c r="AD20" i="1" s="1"/>
  <c r="AD19" i="1" s="1"/>
  <c r="AD18" i="1" s="1"/>
  <c r="AD17" i="1" s="1"/>
  <c r="AD16" i="1" s="1"/>
  <c r="AD15" i="1" s="1"/>
  <c r="AD14" i="1" s="1"/>
  <c r="AI27" i="1"/>
  <c r="AI26" i="1" s="1"/>
  <c r="AI25" i="1" s="1"/>
  <c r="AI24" i="1" s="1"/>
  <c r="AI23" i="1" s="1"/>
  <c r="AI21" i="1" s="1"/>
  <c r="AI20" i="1" s="1"/>
  <c r="AI19" i="1" s="1"/>
  <c r="AI18" i="1" s="1"/>
  <c r="AI17" i="1" s="1"/>
  <c r="AI16" i="1" s="1"/>
  <c r="AI15" i="1" s="1"/>
  <c r="AI14" i="1" s="1"/>
  <c r="AQ27" i="1"/>
  <c r="AQ26" i="1" s="1"/>
  <c r="AQ25" i="1" s="1"/>
  <c r="AQ24" i="1" s="1"/>
  <c r="AQ23" i="1" s="1"/>
  <c r="AQ21" i="1" s="1"/>
  <c r="AQ20" i="1" s="1"/>
  <c r="AQ19" i="1" s="1"/>
  <c r="AQ18" i="1" s="1"/>
  <c r="AQ17" i="1" s="1"/>
  <c r="AQ16" i="1" s="1"/>
  <c r="AQ15" i="1" s="1"/>
  <c r="AQ14" i="1" s="1"/>
  <c r="AU27" i="1"/>
  <c r="AU26" i="1" s="1"/>
  <c r="AU25" i="1" s="1"/>
  <c r="AU24" i="1" s="1"/>
  <c r="AU23" i="1" s="1"/>
  <c r="AU21" i="1" s="1"/>
  <c r="AU20" i="1" s="1"/>
  <c r="AU19" i="1" s="1"/>
  <c r="AU18" i="1" s="1"/>
  <c r="AU17" i="1" s="1"/>
  <c r="AU16" i="1" s="1"/>
  <c r="AU15" i="1" s="1"/>
  <c r="AU14" i="1" s="1"/>
  <c r="BE27" i="1"/>
  <c r="BE26" i="1" s="1"/>
  <c r="BE25" i="1" s="1"/>
  <c r="BE24" i="1" s="1"/>
  <c r="BE23" i="1" s="1"/>
  <c r="BE21" i="1" s="1"/>
  <c r="BE20" i="1" s="1"/>
  <c r="BE19" i="1" s="1"/>
  <c r="BE18" i="1" s="1"/>
  <c r="BE17" i="1" s="1"/>
  <c r="BE16" i="1" s="1"/>
  <c r="BE15" i="1" s="1"/>
  <c r="BE14" i="1" s="1"/>
  <c r="BD27" i="1"/>
  <c r="BD26" i="1" s="1"/>
  <c r="BD25" i="1" s="1"/>
  <c r="BD24" i="1" s="1"/>
  <c r="BD23" i="1" s="1"/>
  <c r="BD21" i="1" s="1"/>
  <c r="BD20" i="1" s="1"/>
  <c r="BD19" i="1" s="1"/>
  <c r="BD18" i="1" s="1"/>
  <c r="BD17" i="1" s="1"/>
  <c r="BD16" i="1" s="1"/>
  <c r="BD15" i="1" s="1"/>
  <c r="BD14" i="1" s="1"/>
  <c r="N27" i="1"/>
  <c r="N26" i="1" s="1"/>
  <c r="N25" i="1" s="1"/>
  <c r="N24" i="1" s="1"/>
  <c r="N23" i="1" s="1"/>
  <c r="N21" i="1" s="1"/>
  <c r="N20" i="1" s="1"/>
  <c r="N19" i="1" s="1"/>
  <c r="N18" i="1" s="1"/>
  <c r="N17" i="1" s="1"/>
  <c r="N16" i="1" s="1"/>
  <c r="N15" i="1" s="1"/>
  <c r="N14" i="1" s="1"/>
  <c r="W27" i="1"/>
  <c r="W26" i="1" s="1"/>
  <c r="W25" i="1" s="1"/>
  <c r="W24" i="1" s="1"/>
  <c r="W23" i="1" s="1"/>
  <c r="W21" i="1" s="1"/>
  <c r="W20" i="1" s="1"/>
  <c r="W19" i="1" s="1"/>
  <c r="W18" i="1" s="1"/>
  <c r="W17" i="1" s="1"/>
  <c r="W16" i="1" s="1"/>
  <c r="W15" i="1" s="1"/>
  <c r="W14" i="1" s="1"/>
  <c r="V27" i="1"/>
  <c r="V26" i="1" s="1"/>
  <c r="V25" i="1" s="1"/>
  <c r="V24" i="1" s="1"/>
  <c r="V23" i="1" s="1"/>
  <c r="V21" i="1" s="1"/>
  <c r="V20" i="1" s="1"/>
  <c r="V19" i="1" s="1"/>
  <c r="V18" i="1" s="1"/>
  <c r="V17" i="1" s="1"/>
  <c r="V16" i="1" s="1"/>
  <c r="V15" i="1" s="1"/>
  <c r="V14" i="1" s="1"/>
  <c r="AH27" i="1"/>
  <c r="AH26" i="1" s="1"/>
  <c r="AH25" i="1" s="1"/>
  <c r="AH24" i="1" s="1"/>
  <c r="AH23" i="1" s="1"/>
  <c r="AH20" i="1" s="1"/>
  <c r="AH19" i="1" s="1"/>
  <c r="AH18" i="1" s="1"/>
  <c r="AH17" i="1" s="1"/>
  <c r="AH16" i="1" s="1"/>
  <c r="AH15" i="1" s="1"/>
  <c r="AH14" i="1" s="1"/>
  <c r="M27" i="1"/>
  <c r="M26" i="1" s="1"/>
  <c r="M25" i="1" s="1"/>
  <c r="M24" i="1" s="1"/>
  <c r="M23" i="1" s="1"/>
  <c r="M21" i="1" s="1"/>
  <c r="M20" i="1" s="1"/>
  <c r="M19" i="1" s="1"/>
  <c r="M18" i="1" s="1"/>
  <c r="M17" i="1" s="1"/>
  <c r="M16" i="1" s="1"/>
  <c r="M15" i="1" s="1"/>
  <c r="L27" i="1"/>
  <c r="L26" i="1" s="1"/>
  <c r="L25" i="1" s="1"/>
  <c r="L24" i="1" s="1"/>
  <c r="L23" i="1" s="1"/>
  <c r="L21" i="1" s="1"/>
  <c r="L20" i="1" s="1"/>
  <c r="L19" i="1" s="1"/>
  <c r="L18" i="1" s="1"/>
  <c r="L17" i="1" s="1"/>
  <c r="L16" i="1" s="1"/>
  <c r="L15" i="1" s="1"/>
  <c r="AT27" i="1"/>
  <c r="AT26" i="1" s="1"/>
  <c r="AT25" i="1" s="1"/>
  <c r="AT24" i="1" s="1"/>
  <c r="AT23" i="1" s="1"/>
  <c r="AT21" i="1" s="1"/>
  <c r="AT20" i="1" s="1"/>
  <c r="AT19" i="1" s="1"/>
  <c r="AT18" i="1" s="1"/>
  <c r="AT17" i="1" s="1"/>
  <c r="AT16" i="1" s="1"/>
  <c r="AT15" i="1" s="1"/>
  <c r="AT14" i="1" s="1"/>
  <c r="AP27" i="1"/>
  <c r="AP26" i="1" s="1"/>
  <c r="AP25" i="1" s="1"/>
  <c r="AP24" i="1" s="1"/>
  <c r="AP23" i="1" s="1"/>
  <c r="AP21" i="1" s="1"/>
  <c r="AP20" i="1" s="1"/>
  <c r="AP19" i="1" s="1"/>
  <c r="AP18" i="1" s="1"/>
  <c r="AP17" i="1" s="1"/>
  <c r="AP16" i="1" s="1"/>
  <c r="AP15" i="1" s="1"/>
  <c r="AP14" i="1" s="1"/>
  <c r="X27" i="1"/>
  <c r="X26" i="1" s="1"/>
  <c r="X25" i="1" s="1"/>
  <c r="X24" i="1" s="1"/>
  <c r="X23" i="1" s="1"/>
  <c r="X21" i="1" s="1"/>
  <c r="X20" i="1" s="1"/>
  <c r="X19" i="1" s="1"/>
  <c r="X18" i="1" s="1"/>
  <c r="X17" i="1" s="1"/>
  <c r="X16" i="1" s="1"/>
  <c r="X15" i="1" s="1"/>
  <c r="X14" i="1" s="1"/>
  <c r="AG27" i="1"/>
  <c r="AG26" i="1" s="1"/>
  <c r="AG25" i="1" s="1"/>
  <c r="AG24" i="1" s="1"/>
  <c r="AG23" i="1" s="1"/>
  <c r="AG20" i="1" s="1"/>
  <c r="AG19" i="1" s="1"/>
  <c r="AG18" i="1" s="1"/>
  <c r="AG17" i="1" s="1"/>
  <c r="AG16" i="1" s="1"/>
  <c r="AG15" i="1" s="1"/>
  <c r="AG14" i="1" s="1"/>
  <c r="AA27" i="1"/>
  <c r="AA26" i="1" s="1"/>
  <c r="AA25" i="1" s="1"/>
  <c r="AA24" i="1" s="1"/>
  <c r="AA23" i="1" s="1"/>
  <c r="AA21" i="1" s="1"/>
  <c r="AA20" i="1" s="1"/>
  <c r="AA19" i="1" s="1"/>
  <c r="AA18" i="1" s="1"/>
  <c r="AA17" i="1" s="1"/>
  <c r="AA16" i="1" s="1"/>
  <c r="AA15" i="1" s="1"/>
  <c r="AA14" i="1" s="1"/>
  <c r="H27" i="1"/>
  <c r="H26" i="1" s="1"/>
  <c r="H25" i="1" s="1"/>
  <c r="H24" i="1" s="1"/>
  <c r="H23" i="1" s="1"/>
  <c r="H21" i="1" s="1"/>
  <c r="H20" i="1" s="1"/>
  <c r="H19" i="1" s="1"/>
  <c r="H18" i="1" s="1"/>
  <c r="H17" i="1" s="1"/>
  <c r="H16" i="1" s="1"/>
  <c r="H15" i="1" s="1"/>
  <c r="H14" i="1" s="1"/>
  <c r="AE27" i="1"/>
  <c r="AE26" i="1" s="1"/>
  <c r="AE25" i="1" s="1"/>
  <c r="AE24" i="1" s="1"/>
  <c r="AE23" i="1" s="1"/>
  <c r="AE21" i="1" s="1"/>
  <c r="AE20" i="1" s="1"/>
  <c r="AE19" i="1" s="1"/>
  <c r="AE18" i="1" s="1"/>
  <c r="AE17" i="1" s="1"/>
  <c r="AE16" i="1" s="1"/>
  <c r="AE15" i="1" s="1"/>
  <c r="AE14" i="1" s="1"/>
  <c r="BA27" i="1"/>
  <c r="BA26" i="1" s="1"/>
  <c r="BA24" i="1" s="1"/>
  <c r="BA23" i="1" s="1"/>
  <c r="BA21" i="1" s="1"/>
  <c r="BA20" i="1" s="1"/>
  <c r="BA19" i="1" s="1"/>
  <c r="BA18" i="1" s="1"/>
  <c r="BA17" i="1" s="1"/>
  <c r="BA16" i="1" s="1"/>
  <c r="BA15" i="1" s="1"/>
  <c r="BA14" i="1" s="1"/>
  <c r="AY27" i="1"/>
  <c r="AY26" i="1" s="1"/>
  <c r="AY24" i="1" s="1"/>
  <c r="AY23" i="1" s="1"/>
  <c r="AY21" i="1" s="1"/>
  <c r="AY20" i="1" s="1"/>
  <c r="AY19" i="1" s="1"/>
  <c r="AY18" i="1" s="1"/>
  <c r="AY17" i="1" s="1"/>
  <c r="AY16" i="1" s="1"/>
  <c r="AY15" i="1" s="1"/>
  <c r="AY14" i="1" s="1"/>
  <c r="AV27" i="1"/>
  <c r="AV26" i="1" s="1"/>
  <c r="AV24" i="1" s="1"/>
  <c r="AV23" i="1" s="1"/>
  <c r="AV21" i="1" s="1"/>
  <c r="AV20" i="1" s="1"/>
  <c r="AV19" i="1" s="1"/>
  <c r="AV18" i="1" s="1"/>
  <c r="AV17" i="1" s="1"/>
  <c r="AV16" i="1" s="1"/>
  <c r="AV15" i="1" s="1"/>
  <c r="AV14" i="1" s="1"/>
  <c r="O27" i="1"/>
  <c r="O26" i="1" s="1"/>
  <c r="O24" i="1" s="1"/>
  <c r="O23" i="1" s="1"/>
  <c r="O21" i="1" s="1"/>
  <c r="O20" i="1" s="1"/>
  <c r="O19" i="1" s="1"/>
  <c r="O18" i="1" s="1"/>
  <c r="O17" i="1" s="1"/>
  <c r="O16" i="1" s="1"/>
  <c r="O15" i="1" s="1"/>
  <c r="O14" i="1" s="1"/>
  <c r="AX27" i="1"/>
  <c r="AX26" i="1" s="1"/>
  <c r="AX24" i="1" s="1"/>
  <c r="AX23" i="1" s="1"/>
  <c r="AX21" i="1" s="1"/>
  <c r="AX20" i="1" s="1"/>
  <c r="AX19" i="1" s="1"/>
  <c r="AX18" i="1" s="1"/>
  <c r="AX17" i="1" s="1"/>
  <c r="AX16" i="1" s="1"/>
  <c r="AX15" i="1" s="1"/>
  <c r="AX14" i="1" s="1"/>
  <c r="P27" i="1"/>
  <c r="P26" i="1" s="1"/>
  <c r="P24" i="1" s="1"/>
  <c r="P23" i="1" s="1"/>
  <c r="P21" i="1" s="1"/>
  <c r="P20" i="1" s="1"/>
  <c r="P19" i="1" s="1"/>
  <c r="P18" i="1" s="1"/>
  <c r="P17" i="1" s="1"/>
  <c r="P16" i="1" s="1"/>
  <c r="P15" i="1" s="1"/>
  <c r="P14" i="1" s="1"/>
  <c r="BC27" i="1"/>
  <c r="BC26" i="1" s="1"/>
  <c r="BC24" i="1" s="1"/>
  <c r="BC23" i="1" s="1"/>
  <c r="BC21" i="1" s="1"/>
  <c r="BC20" i="1" s="1"/>
  <c r="BC19" i="1" s="1"/>
  <c r="BC18" i="1" s="1"/>
  <c r="BC17" i="1" s="1"/>
  <c r="BC16" i="1" s="1"/>
  <c r="BC15" i="1" s="1"/>
  <c r="BC14" i="1" s="1"/>
  <c r="AC27" i="1"/>
  <c r="AC26" i="1" s="1"/>
  <c r="AC24" i="1" s="1"/>
  <c r="AC23" i="1" s="1"/>
  <c r="AC20" i="1" s="1"/>
  <c r="AC19" i="1" s="1"/>
  <c r="AC18" i="1" s="1"/>
  <c r="AC17" i="1" s="1"/>
  <c r="AC16" i="1" s="1"/>
  <c r="AC15" i="1" s="1"/>
  <c r="AC14" i="1" s="1"/>
  <c r="BB27" i="1"/>
  <c r="BB26" i="1" s="1"/>
  <c r="BB24" i="1" s="1"/>
  <c r="BB23" i="1" s="1"/>
  <c r="BB21" i="1" s="1"/>
  <c r="BB20" i="1" s="1"/>
  <c r="BB19" i="1" s="1"/>
  <c r="BB18" i="1" s="1"/>
  <c r="BB17" i="1" s="1"/>
  <c r="BB16" i="1" s="1"/>
  <c r="BB15" i="1" s="1"/>
  <c r="BB14" i="1" s="1"/>
  <c r="AZ27" i="1"/>
  <c r="AZ26" i="1" s="1"/>
  <c r="AZ24" i="1" s="1"/>
  <c r="AZ23" i="1" s="1"/>
  <c r="AZ21" i="1" s="1"/>
  <c r="AZ20" i="1" s="1"/>
  <c r="AZ19" i="1" s="1"/>
  <c r="AZ18" i="1" s="1"/>
  <c r="AZ17" i="1" s="1"/>
  <c r="AZ16" i="1" s="1"/>
  <c r="AZ15" i="1" s="1"/>
  <c r="AZ14" i="1" s="1"/>
  <c r="AW27" i="1"/>
  <c r="AW26" i="1" s="1"/>
  <c r="AW24" i="1" s="1"/>
  <c r="AW23" i="1" s="1"/>
  <c r="AW21" i="1" s="1"/>
  <c r="AW20" i="1" s="1"/>
  <c r="AW19" i="1" s="1"/>
  <c r="AW18" i="1" s="1"/>
  <c r="AW17" i="1" s="1"/>
  <c r="AW16" i="1" s="1"/>
  <c r="AW15" i="1" s="1"/>
  <c r="AW14" i="1" s="1"/>
  <c r="Z27" i="1"/>
  <c r="Z26" i="1" s="1"/>
  <c r="Z24" i="1" s="1"/>
  <c r="Z23" i="1" s="1"/>
  <c r="Z21" i="1" s="1"/>
  <c r="Z20" i="1" s="1"/>
  <c r="Z19" i="1" s="1"/>
  <c r="Z18" i="1" s="1"/>
  <c r="Z17" i="1" s="1"/>
  <c r="Z16" i="1" s="1"/>
  <c r="Z15" i="1" s="1"/>
  <c r="Z14" i="1" s="1"/>
  <c r="S27" i="1"/>
  <c r="S26" i="1" s="1"/>
  <c r="S24" i="1" s="1"/>
  <c r="S23" i="1" s="1"/>
  <c r="S21" i="1" s="1"/>
  <c r="S20" i="1" s="1"/>
  <c r="S19" i="1" s="1"/>
  <c r="S18" i="1" s="1"/>
  <c r="S17" i="1" s="1"/>
  <c r="S16" i="1" s="1"/>
  <c r="S15" i="1" s="1"/>
  <c r="S14" i="1" s="1"/>
  <c r="J27" i="1"/>
  <c r="J26" i="1" s="1"/>
  <c r="J24" i="1" s="1"/>
  <c r="J23" i="1" s="1"/>
  <c r="J21" i="1" s="1"/>
  <c r="J20" i="1" s="1"/>
  <c r="J19" i="1" s="1"/>
  <c r="J18" i="1" s="1"/>
  <c r="J17" i="1" s="1"/>
  <c r="J16" i="1" s="1"/>
  <c r="J15" i="1" s="1"/>
  <c r="J14" i="1" s="1"/>
  <c r="Q27" i="1"/>
  <c r="Q26" i="1" s="1"/>
  <c r="Q24" i="1" s="1"/>
  <c r="Q23" i="1" s="1"/>
  <c r="Q21" i="1" s="1"/>
  <c r="Q20" i="1" s="1"/>
  <c r="Q19" i="1" s="1"/>
  <c r="Q18" i="1" s="1"/>
  <c r="Q17" i="1" s="1"/>
  <c r="Q16" i="1" s="1"/>
  <c r="Q15" i="1" s="1"/>
  <c r="Q14" i="1" s="1"/>
  <c r="C27" i="1"/>
  <c r="C26" i="1" s="1"/>
  <c r="C24" i="1" s="1"/>
  <c r="C23" i="1" s="1"/>
  <c r="C21" i="1" s="1"/>
  <c r="C20" i="1" s="1"/>
  <c r="C19" i="1" s="1"/>
  <c r="C18" i="1" s="1"/>
  <c r="C17" i="1" s="1"/>
  <c r="C16" i="1" s="1"/>
  <c r="C15" i="1" s="1"/>
  <c r="C14" i="1" s="1"/>
  <c r="AJ27" i="1"/>
  <c r="AJ26" i="1" s="1"/>
  <c r="AJ24" i="1" s="1"/>
  <c r="AJ23" i="1" s="1"/>
  <c r="AJ21" i="1" s="1"/>
  <c r="AJ20" i="1" s="1"/>
  <c r="AJ19" i="1" s="1"/>
  <c r="AJ18" i="1" s="1"/>
  <c r="AJ17" i="1" s="1"/>
  <c r="AJ16" i="1" s="1"/>
  <c r="AJ15" i="1" s="1"/>
  <c r="AJ14" i="1" s="1"/>
  <c r="D27" i="1"/>
  <c r="D26" i="1" s="1"/>
  <c r="D24" i="1" s="1"/>
  <c r="D23" i="1" s="1"/>
  <c r="D21" i="1" s="1"/>
  <c r="D20" i="1" s="1"/>
  <c r="D19" i="1" s="1"/>
  <c r="D18" i="1" s="1"/>
  <c r="D17" i="1" s="1"/>
  <c r="D16" i="1" s="1"/>
  <c r="D15" i="1" s="1"/>
  <c r="D14" i="1" s="1"/>
  <c r="AO27" i="1"/>
  <c r="AO26" i="1" s="1"/>
  <c r="AO24" i="1" s="1"/>
  <c r="AO23" i="1" s="1"/>
  <c r="AO21" i="1" s="1"/>
  <c r="AO20" i="1" s="1"/>
  <c r="AO19" i="1" s="1"/>
  <c r="AO18" i="1" s="1"/>
  <c r="AO17" i="1" s="1"/>
  <c r="AO16" i="1" s="1"/>
  <c r="AO15" i="1" s="1"/>
  <c r="AO14" i="1" s="1"/>
  <c r="F27" i="1"/>
  <c r="F26" i="1" s="1"/>
  <c r="F24" i="1" s="1"/>
  <c r="F23" i="1" s="1"/>
  <c r="F21" i="1" s="1"/>
  <c r="F20" i="1" s="1"/>
  <c r="F19" i="1" s="1"/>
  <c r="F17" i="1" s="1"/>
  <c r="F16" i="1" s="1"/>
  <c r="F15" i="1" s="1"/>
  <c r="F14" i="1" s="1"/>
  <c r="E27" i="1"/>
  <c r="E26" i="1" s="1"/>
  <c r="E24" i="1" s="1"/>
  <c r="E23" i="1" s="1"/>
  <c r="E21" i="1" s="1"/>
  <c r="E20" i="1" s="1"/>
  <c r="E19" i="1" s="1"/>
  <c r="E18" i="1" s="1"/>
  <c r="E17" i="1" s="1"/>
  <c r="E16" i="1" s="1"/>
  <c r="E15" i="1" s="1"/>
  <c r="E14" i="1" s="1"/>
  <c r="AF27" i="1"/>
  <c r="AF26" i="1" s="1"/>
  <c r="AF24" i="1" s="1"/>
  <c r="AF23" i="1" s="1"/>
  <c r="AF20" i="1" s="1"/>
  <c r="AF19" i="1" s="1"/>
  <c r="AF18" i="1" s="1"/>
  <c r="AF17" i="1" s="1"/>
  <c r="AF16" i="1" s="1"/>
  <c r="AF15" i="1" s="1"/>
  <c r="AF14" i="1" s="1"/>
  <c r="T27" i="1"/>
  <c r="T26" i="1" s="1"/>
  <c r="T24" i="1" s="1"/>
  <c r="T23" i="1" s="1"/>
  <c r="T21" i="1" s="1"/>
  <c r="T20" i="1" s="1"/>
  <c r="T19" i="1" s="1"/>
  <c r="T17" i="1" s="1"/>
  <c r="T16" i="1" s="1"/>
  <c r="T15" i="1" s="1"/>
  <c r="T14" i="1" s="1"/>
  <c r="AR27" i="1"/>
  <c r="AR26" i="1" s="1"/>
  <c r="AR24" i="1" s="1"/>
  <c r="AB27" i="1"/>
  <c r="AB26" i="1" s="1"/>
  <c r="AB24" i="1" s="1"/>
  <c r="AB21" i="1" s="1"/>
  <c r="AB20" i="1" s="1"/>
  <c r="AB19" i="1" s="1"/>
  <c r="AB18" i="1" s="1"/>
  <c r="AB17" i="1" s="1"/>
  <c r="AB16" i="1" s="1"/>
  <c r="AB15" i="1" s="1"/>
  <c r="AB14" i="1" s="1"/>
  <c r="G27" i="1"/>
  <c r="G26" i="1" s="1"/>
  <c r="U27" i="1"/>
  <c r="U26" i="1" s="1"/>
  <c r="U24" i="1" s="1"/>
  <c r="U22" i="1" s="1"/>
  <c r="U21" i="1" s="1"/>
  <c r="U20" i="1" s="1"/>
  <c r="U19" i="1" s="1"/>
  <c r="U18" i="1" s="1"/>
  <c r="U17" i="1" s="1"/>
  <c r="U16" i="1" s="1"/>
  <c r="U15" i="1" s="1"/>
  <c r="U14" i="1" s="1"/>
  <c r="Y27" i="1"/>
  <c r="Y26" i="1" s="1"/>
  <c r="Y24" i="1" s="1"/>
  <c r="Y22" i="1" s="1"/>
  <c r="Y21" i="1" s="1"/>
  <c r="Y20" i="1" s="1"/>
  <c r="Y19" i="1" s="1"/>
  <c r="Y18" i="1" s="1"/>
  <c r="Y17" i="1" s="1"/>
  <c r="Y16" i="1" s="1"/>
  <c r="Y15" i="1" s="1"/>
  <c r="Y14" i="1" s="1"/>
  <c r="R27" i="1"/>
  <c r="R26" i="1" s="1"/>
  <c r="R24" i="1" s="1"/>
  <c r="R22" i="1" s="1"/>
  <c r="R21" i="1" s="1"/>
  <c r="R20" i="1" s="1"/>
  <c r="R19" i="1" s="1"/>
  <c r="R18" i="1" s="1"/>
  <c r="R17" i="1" s="1"/>
  <c r="R16" i="1" s="1"/>
  <c r="R15" i="1" s="1"/>
  <c r="R14" i="1" s="1"/>
  <c r="R5" i="1" s="1"/>
  <c r="K27" i="1"/>
  <c r="K26" i="1" s="1"/>
  <c r="K24" i="1" s="1"/>
  <c r="I27" i="1"/>
  <c r="I26" i="1" s="1"/>
  <c r="G24" i="1"/>
  <c r="G22" i="1" s="1"/>
  <c r="G21" i="1" s="1"/>
  <c r="G20" i="1" s="1"/>
  <c r="G19" i="1" s="1"/>
  <c r="G18" i="1" s="1"/>
  <c r="G17" i="1" s="1"/>
  <c r="G16" i="1" s="1"/>
  <c r="G15" i="1" s="1"/>
  <c r="G14" i="1" s="1"/>
  <c r="I24" i="1"/>
  <c r="K22" i="1"/>
  <c r="K21" i="1" s="1"/>
  <c r="K20" i="1" s="1"/>
  <c r="K19" i="1" s="1"/>
  <c r="K18" i="1" s="1"/>
  <c r="K17" i="1" s="1"/>
  <c r="K16" i="1" s="1"/>
  <c r="K15" i="1" s="1"/>
  <c r="K14" i="1" s="1"/>
  <c r="K5" i="1" s="1"/>
  <c r="I22" i="1"/>
  <c r="I21" i="1" s="1"/>
  <c r="I20" i="1" s="1"/>
  <c r="I19" i="1" s="1"/>
  <c r="I18" i="1" s="1"/>
  <c r="I17" i="1" s="1"/>
  <c r="I16" i="1" s="1"/>
  <c r="I15" i="1" s="1"/>
  <c r="I14" i="1" s="1"/>
  <c r="AR21" i="1"/>
  <c r="AR20" i="1" s="1"/>
  <c r="AR19" i="1" s="1"/>
  <c r="AR18" i="1" s="1"/>
  <c r="AR17" i="1" s="1"/>
  <c r="AR16" i="1" s="1"/>
  <c r="AR15" i="1" s="1"/>
  <c r="AR14" i="1" s="1"/>
  <c r="DE7" i="1"/>
  <c r="DD7" i="1"/>
  <c r="DC7" i="1"/>
  <c r="DB7" i="1"/>
  <c r="DA7" i="1"/>
  <c r="CZ7" i="1"/>
  <c r="CY7" i="1"/>
  <c r="CX7" i="1"/>
  <c r="CW7" i="1"/>
  <c r="CV7" i="1"/>
  <c r="CU7" i="1"/>
  <c r="CT7" i="1"/>
  <c r="CS7" i="1"/>
  <c r="CR7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AD7" i="1"/>
  <c r="AI7" i="1"/>
  <c r="AQ7" i="1"/>
  <c r="AU7" i="1"/>
  <c r="BE7" i="1"/>
  <c r="BD7" i="1"/>
  <c r="N7" i="1"/>
  <c r="W7" i="1"/>
  <c r="V7" i="1"/>
  <c r="AH7" i="1"/>
  <c r="M7" i="1"/>
  <c r="L7" i="1"/>
  <c r="AT7" i="1"/>
  <c r="AP7" i="1"/>
  <c r="X7" i="1"/>
  <c r="AG7" i="1"/>
  <c r="AA7" i="1"/>
  <c r="H7" i="1"/>
  <c r="AE7" i="1"/>
  <c r="BA7" i="1"/>
  <c r="AY7" i="1"/>
  <c r="AV7" i="1"/>
  <c r="O7" i="1"/>
  <c r="AX7" i="1"/>
  <c r="P7" i="1"/>
  <c r="BC7" i="1"/>
  <c r="AC7" i="1"/>
  <c r="BB7" i="1"/>
  <c r="AZ7" i="1"/>
  <c r="AW7" i="1"/>
  <c r="Z7" i="1"/>
  <c r="S7" i="1"/>
  <c r="J7" i="1"/>
  <c r="Q7" i="1"/>
  <c r="C7" i="1"/>
  <c r="AJ7" i="1"/>
  <c r="D7" i="1"/>
  <c r="AO7" i="1"/>
  <c r="F7" i="1"/>
  <c r="E7" i="1"/>
  <c r="AF7" i="1"/>
  <c r="T7" i="1"/>
  <c r="AR7" i="1"/>
  <c r="AB7" i="1"/>
  <c r="G7" i="1"/>
  <c r="U7" i="1"/>
  <c r="Y7" i="1"/>
  <c r="Y6" i="1"/>
  <c r="U6" i="1" s="1"/>
  <c r="G6" i="1" s="1"/>
  <c r="AB6" i="1" s="1"/>
  <c r="AR6" i="1" s="1"/>
  <c r="T6" i="1" s="1"/>
  <c r="AF6" i="1" s="1"/>
  <c r="E6" i="1" s="1"/>
  <c r="F6" i="1" s="1"/>
  <c r="AO6" i="1" s="1"/>
  <c r="D6" i="1" s="1"/>
  <c r="AJ6" i="1" s="1"/>
  <c r="C6" i="1" s="1"/>
  <c r="Q6" i="1" s="1"/>
  <c r="J6" i="1" s="1"/>
  <c r="S6" i="1" s="1"/>
  <c r="Z6" i="1" s="1"/>
  <c r="AW6" i="1" s="1"/>
  <c r="AZ6" i="1" s="1"/>
  <c r="BB6" i="1" s="1"/>
  <c r="AC6" i="1" s="1"/>
  <c r="BC6" i="1" s="1"/>
  <c r="P6" i="1" s="1"/>
  <c r="AX6" i="1" s="1"/>
  <c r="O6" i="1" s="1"/>
  <c r="AV6" i="1" s="1"/>
  <c r="AY6" i="1" s="1"/>
  <c r="BA6" i="1" s="1"/>
  <c r="AE6" i="1" s="1"/>
  <c r="H6" i="1" s="1"/>
  <c r="AA6" i="1" s="1"/>
  <c r="AG6" i="1" s="1"/>
  <c r="X6" i="1" s="1"/>
  <c r="AP6" i="1" s="1"/>
  <c r="AT6" i="1" s="1"/>
  <c r="L6" i="1" s="1"/>
  <c r="M6" i="1" s="1"/>
  <c r="AH6" i="1" s="1"/>
  <c r="V6" i="1" s="1"/>
  <c r="W6" i="1" s="1"/>
  <c r="N6" i="1" s="1"/>
  <c r="BD6" i="1" s="1"/>
  <c r="BE6" i="1" s="1"/>
  <c r="AU6" i="1" s="1"/>
  <c r="AQ6" i="1" s="1"/>
  <c r="AI6" i="1" s="1"/>
  <c r="AD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Z6" i="1" s="1"/>
  <c r="DA6" i="1" s="1"/>
  <c r="DB6" i="1" s="1"/>
  <c r="DC6" i="1" s="1"/>
  <c r="DD6" i="1" s="1"/>
  <c r="DE6" i="1" s="1"/>
</calcChain>
</file>

<file path=xl/comments1.xml><?xml version="1.0" encoding="utf-8"?>
<comments xmlns="http://schemas.openxmlformats.org/spreadsheetml/2006/main">
  <authors>
    <author>Aubrie Kennedy</author>
  </authors>
  <commentList>
    <comment ref="AK30" authorId="0">
      <text>
        <r>
          <rPr>
            <b/>
            <sz val="9"/>
            <color indexed="81"/>
            <rFont val="Tahoma"/>
            <family val="2"/>
          </rPr>
          <t>Aubrie Kennedy:</t>
        </r>
        <r>
          <rPr>
            <sz val="9"/>
            <color indexed="81"/>
            <rFont val="Tahoma"/>
            <family val="2"/>
          </rPr>
          <t xml:space="preserve">
DONE WAITING ON RFA FROM CANDA 3/7/16
</t>
        </r>
      </text>
    </comment>
  </commentList>
</comments>
</file>

<file path=xl/sharedStrings.xml><?xml version="1.0" encoding="utf-8"?>
<sst xmlns="http://schemas.openxmlformats.org/spreadsheetml/2006/main" count="597" uniqueCount="141">
  <si>
    <t>XXXX</t>
  </si>
  <si>
    <t>Customer</t>
  </si>
  <si>
    <t>PWC</t>
  </si>
  <si>
    <t>Portal Stat Date</t>
  </si>
  <si>
    <t>Full LT Prediction</t>
  </si>
  <si>
    <t>MRO</t>
  </si>
  <si>
    <t>UPE: 9</t>
  </si>
  <si>
    <t>PWC Case - Status</t>
  </si>
  <si>
    <t>SHIPPED</t>
  </si>
  <si>
    <t>WIP</t>
  </si>
  <si>
    <t>Sales Order #</t>
  </si>
  <si>
    <t>xxxxx</t>
  </si>
  <si>
    <t>Part Number</t>
  </si>
  <si>
    <t>Shipping</t>
  </si>
  <si>
    <t>Final Inspection / DQR</t>
  </si>
  <si>
    <t>Finish Ops</t>
  </si>
  <si>
    <t>VTL</t>
  </si>
  <si>
    <t>Clave 2</t>
  </si>
  <si>
    <t>Clean room / Layup 2</t>
  </si>
  <si>
    <t>Demold</t>
  </si>
  <si>
    <t>Clave 1</t>
  </si>
  <si>
    <t>Clean room / Layup 1</t>
  </si>
  <si>
    <t>PAA 1/Prime</t>
  </si>
  <si>
    <t>Stripping</t>
  </si>
  <si>
    <t>Launch / Router Cut</t>
  </si>
  <si>
    <t>Evaluation</t>
  </si>
  <si>
    <t>Raw Case Commit</t>
  </si>
  <si>
    <t>Date Last Touched by RGBSI</t>
  </si>
  <si>
    <t>Location</t>
  </si>
  <si>
    <t>MRO-  RGBSI Notes</t>
  </si>
  <si>
    <t>Spec / Blueprint detail issue</t>
  </si>
  <si>
    <t>16YW00963 App 3/31</t>
  </si>
  <si>
    <t>SAP CC Completed</t>
  </si>
  <si>
    <t>Day before Thanksgiving</t>
  </si>
  <si>
    <t>Thanksgiving</t>
  </si>
  <si>
    <t>Day after Thanksgiving</t>
  </si>
  <si>
    <t>6 &amp; Out Christmas</t>
  </si>
  <si>
    <t>Day before Christmas</t>
  </si>
  <si>
    <t>Christmas</t>
  </si>
  <si>
    <t>Day after Christmas</t>
  </si>
  <si>
    <t>6 &amp; Out New Years</t>
  </si>
  <si>
    <t>New Years Eve</t>
  </si>
  <si>
    <t>New Years Day</t>
  </si>
  <si>
    <t>Day After New Years</t>
  </si>
  <si>
    <t>Friday before Memorial Day</t>
  </si>
  <si>
    <t>Memorial Day</t>
  </si>
  <si>
    <t>Friday before July 4th</t>
  </si>
  <si>
    <t>Fourth of July</t>
  </si>
  <si>
    <t>Labor Day</t>
  </si>
  <si>
    <t>Release Date</t>
  </si>
  <si>
    <t>PWAA Commit ( Ship Date</t>
  </si>
  <si>
    <t>Ship Date</t>
  </si>
  <si>
    <t>Engine Type</t>
  </si>
  <si>
    <t>30B4795-01</t>
  </si>
  <si>
    <t>PAA HALL</t>
  </si>
  <si>
    <t>31B5237-01</t>
  </si>
  <si>
    <t>30J3390-01</t>
  </si>
  <si>
    <t>30J3393-01</t>
  </si>
  <si>
    <t>3119760-01</t>
  </si>
  <si>
    <t>JT15D-5D</t>
  </si>
  <si>
    <t>CLEAN ROOM</t>
  </si>
  <si>
    <t>35C4881-01</t>
  </si>
  <si>
    <t>CELL</t>
  </si>
  <si>
    <t>30J3392-01</t>
  </si>
  <si>
    <t>3053803-01</t>
  </si>
  <si>
    <t>CUST HOLD</t>
  </si>
  <si>
    <t>not on or file that amy keeps</t>
  </si>
  <si>
    <t>want week of 4/115</t>
  </si>
  <si>
    <t>wanted week of 4/5</t>
  </si>
  <si>
    <t>Delivery on Monday 4/18</t>
  </si>
  <si>
    <t>NEEDS CONCESSION RFE Submitted on 4/14</t>
  </si>
  <si>
    <t>Cell</t>
  </si>
  <si>
    <t>Disassemble</t>
  </si>
  <si>
    <t>02R31B4055-01</t>
  </si>
  <si>
    <t>31B5237</t>
  </si>
  <si>
    <t>PJ3926</t>
  </si>
  <si>
    <t xml:space="preserve">Clean Room </t>
  </si>
  <si>
    <t>30C4881-01</t>
  </si>
  <si>
    <t>Sales Order Number</t>
  </si>
  <si>
    <t xml:space="preserve">Ship To </t>
  </si>
  <si>
    <t>GKN Westland Aerospace</t>
  </si>
  <si>
    <t>PWCC</t>
  </si>
  <si>
    <t>P&amp;W Columbus Engine Center</t>
  </si>
  <si>
    <t>United A/L-Moc</t>
  </si>
  <si>
    <t>MTU Maintenance Berlin- Brandenburg</t>
  </si>
  <si>
    <t>Eagle Services Asia PTE LTD</t>
  </si>
  <si>
    <t xml:space="preserve">Pratt &amp; Whitney Canada </t>
  </si>
  <si>
    <t>4/7/416</t>
  </si>
  <si>
    <t>Dallas Airmotive</t>
  </si>
  <si>
    <t>Pratt N Whitney Canada Inc</t>
  </si>
  <si>
    <t>Pratt &amp; Whitney Engine Services</t>
  </si>
  <si>
    <t>Korean Air</t>
  </si>
  <si>
    <t>Japan Airlines</t>
  </si>
  <si>
    <t xml:space="preserve">PW LME Charleston </t>
  </si>
  <si>
    <t>Bombardier Services Corp</t>
  </si>
  <si>
    <t>United Airlines INC</t>
  </si>
  <si>
    <t>United Airlines SMB</t>
  </si>
  <si>
    <t>SR Technics C/O Kuehne + Nagel Inc</t>
  </si>
  <si>
    <t>Vector Aerospace Engine Services</t>
  </si>
  <si>
    <t>GKN Structures</t>
  </si>
  <si>
    <t>ABT # Maintenance</t>
  </si>
  <si>
    <t>Air Berlin Technik GMBH</t>
  </si>
  <si>
    <t>Shipped</t>
  </si>
  <si>
    <t>Adhesive issue</t>
  </si>
  <si>
    <t>Adhesive Issue</t>
  </si>
  <si>
    <t>SDF 1014 ST1 AIROJCC</t>
  </si>
  <si>
    <t>UNITED A/L-MOC ME 789-08-01-03-FRT</t>
  </si>
  <si>
    <t>P&amp;W - CSA</t>
  </si>
  <si>
    <t>P&amp;W Military Aftermarket Services</t>
  </si>
  <si>
    <t>Pratt N Whitney Component Solutions</t>
  </si>
  <si>
    <t>Boeing Logistics Spares INC</t>
  </si>
  <si>
    <t>Pratt &amp; Whitney Component Solutions</t>
  </si>
  <si>
    <t xml:space="preserve">Merril working on on 4/22 Wants first week of MAY </t>
  </si>
  <si>
    <t>35C5324-01</t>
  </si>
  <si>
    <t>35c4881-01</t>
  </si>
  <si>
    <t xml:space="preserve">CUST HOLD </t>
  </si>
  <si>
    <t>`</t>
  </si>
  <si>
    <t>Pratt &amp; Whitney Canada Inc</t>
  </si>
  <si>
    <t>Sand N Finish</t>
  </si>
  <si>
    <t>Date on Hold Tag</t>
  </si>
  <si>
    <t>Date Entered on List</t>
  </si>
  <si>
    <t>Comments</t>
  </si>
  <si>
    <t>P&amp;W Component Solutions</t>
  </si>
  <si>
    <t xml:space="preserve">Vector Aerospace </t>
  </si>
  <si>
    <t>P&amp;W Engine Service</t>
  </si>
  <si>
    <t>35C4851-01</t>
  </si>
  <si>
    <t>P&amp;W Canada</t>
  </si>
  <si>
    <t>Date Released from Hold</t>
  </si>
  <si>
    <t>CARRIE TO VERIFY IT HAS BEEN SHIPPED 4/29/16</t>
  </si>
  <si>
    <t xml:space="preserve">IHI Aerospace </t>
  </si>
  <si>
    <t xml:space="preserve">PAA HALL </t>
  </si>
  <si>
    <t xml:space="preserve">Clave </t>
  </si>
  <si>
    <t>Clave</t>
  </si>
  <si>
    <t xml:space="preserve">Should be in shipping today </t>
  </si>
  <si>
    <t>Working through cell 5/2</t>
  </si>
  <si>
    <t>OVEN</t>
  </si>
  <si>
    <t>Laser</t>
  </si>
  <si>
    <t xml:space="preserve">Cust Hold </t>
  </si>
  <si>
    <t>Paa Hall</t>
  </si>
  <si>
    <t>Cust hold</t>
  </si>
  <si>
    <t>Cust 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</si>
</sst>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\ \-\ h\ AM/PM"/>
    <numFmt numFmtId="165" formatCode="m/d"/>
    <numFmt numFmtId="166" formatCode="m/d;@"/>
    <numFmt numFmtId="167" formatCode="[$-F800]dddd\,\ mmmm\ dd\,\ yyyy"/>
    <numFmt numFmtId="168" formatCode="m/d/yy;@"/>
  </numFmts>
  <fonts count="21" x14ac:knownFonts="1">
    <font>
      <sz val="11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2"/>
      <color theme="1"/>
      <name val="Arial"/>
      <family val="2"/>
    </font>
    <font>
      <sz val="8"/>
      <color theme="0"/>
      <name val="Arial"/>
      <family val="2"/>
    </font>
    <font>
      <b/>
      <sz val="8"/>
      <color indexed="9"/>
      <name val="Arial"/>
      <family val="2"/>
    </font>
    <font>
      <b/>
      <sz val="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color theme="1"/>
      <name val="Arial"/>
      <family val="2"/>
    </font>
    <font>
      <b/>
      <sz val="11"/>
      <color theme="1"/>
      <name val="Arial"/>
      <family val="2"/>
    </font>
    <font>
      <sz val="10"/>
      <color rgb="FF00000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49EE4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50">
    <xf numFmtId="0" fontId="0" fillId="0" borderId="0" xfId="0"/>
    <xf numFmtId="0" fontId="0" fillId="0" borderId="1" xfId="0" applyBorder="1"/>
    <xf numFmtId="164" fontId="3" fillId="2" borderId="2" xfId="1" applyNumberFormat="1" applyFont="1" applyFill="1" applyBorder="1" applyAlignment="1">
      <alignment horizontal="center" vertical="center"/>
    </xf>
    <xf numFmtId="0" fontId="4" fillId="3" borderId="3" xfId="1" applyNumberFormat="1" applyFont="1" applyFill="1" applyBorder="1" applyAlignment="1">
      <alignment horizontal="center" vertical="center"/>
    </xf>
    <xf numFmtId="0" fontId="4" fillId="0" borderId="0" xfId="1" applyNumberFormat="1" applyFont="1" applyFill="1" applyBorder="1" applyAlignment="1">
      <alignment vertical="center"/>
    </xf>
    <xf numFmtId="0" fontId="0" fillId="0" borderId="0" xfId="0" applyFill="1" applyBorder="1"/>
    <xf numFmtId="0" fontId="0" fillId="0" borderId="4" xfId="0" applyBorder="1"/>
    <xf numFmtId="165" fontId="2" fillId="4" borderId="5" xfId="1" applyNumberFormat="1" applyFont="1" applyFill="1" applyBorder="1" applyAlignment="1">
      <alignment horizontal="center" vertical="center"/>
    </xf>
    <xf numFmtId="166" fontId="7" fillId="0" borderId="3" xfId="1" applyNumberFormat="1" applyFont="1" applyFill="1" applyBorder="1" applyAlignment="1">
      <alignment horizontal="center" vertical="center"/>
    </xf>
    <xf numFmtId="1" fontId="7" fillId="0" borderId="3" xfId="1" applyNumberFormat="1" applyFont="1" applyFill="1" applyBorder="1" applyAlignment="1">
      <alignment horizontal="center" vertical="center"/>
    </xf>
    <xf numFmtId="0" fontId="8" fillId="0" borderId="4" xfId="0" applyFont="1" applyBorder="1"/>
    <xf numFmtId="165" fontId="6" fillId="5" borderId="3" xfId="1" applyNumberFormat="1" applyFont="1" applyFill="1" applyBorder="1" applyAlignment="1">
      <alignment horizontal="center" vertical="center"/>
    </xf>
    <xf numFmtId="165" fontId="6" fillId="6" borderId="3" xfId="1" applyNumberFormat="1" applyFont="1" applyFill="1" applyBorder="1" applyAlignment="1">
      <alignment horizontal="center" vertical="center"/>
    </xf>
    <xf numFmtId="165" fontId="6" fillId="0" borderId="3" xfId="1" applyNumberFormat="1" applyFont="1" applyFill="1" applyBorder="1" applyAlignment="1">
      <alignment horizontal="center" vertical="center"/>
    </xf>
    <xf numFmtId="16" fontId="8" fillId="6" borderId="0" xfId="0" applyNumberFormat="1" applyFont="1" applyFill="1"/>
    <xf numFmtId="0" fontId="6" fillId="0" borderId="0" xfId="1" applyNumberFormat="1" applyFont="1" applyFill="1" applyBorder="1" applyAlignment="1">
      <alignment vertical="center"/>
    </xf>
    <xf numFmtId="0" fontId="8" fillId="0" borderId="0" xfId="0" applyFont="1" applyFill="1" applyBorder="1"/>
    <xf numFmtId="0" fontId="8" fillId="0" borderId="0" xfId="0" applyFont="1"/>
    <xf numFmtId="0" fontId="0" fillId="0" borderId="6" xfId="0" applyBorder="1"/>
    <xf numFmtId="165" fontId="7" fillId="0" borderId="3" xfId="1" applyNumberFormat="1" applyFont="1" applyFill="1" applyBorder="1" applyAlignment="1">
      <alignment horizontal="center" vertical="center"/>
    </xf>
    <xf numFmtId="1" fontId="9" fillId="0" borderId="3" xfId="1" applyNumberFormat="1" applyFont="1" applyFill="1" applyBorder="1" applyAlignment="1">
      <alignment horizontal="center" vertical="center"/>
    </xf>
    <xf numFmtId="165" fontId="11" fillId="8" borderId="1" xfId="1" applyNumberFormat="1" applyFont="1" applyFill="1" applyBorder="1" applyAlignment="1">
      <alignment horizontal="center" vertical="center"/>
    </xf>
    <xf numFmtId="0" fontId="3" fillId="10" borderId="2" xfId="1" applyNumberFormat="1" applyFont="1" applyFill="1" applyBorder="1" applyAlignment="1">
      <alignment horizontal="center" vertical="center"/>
    </xf>
    <xf numFmtId="0" fontId="0" fillId="0" borderId="0" xfId="0" applyNumberFormat="1" applyFont="1" applyFill="1" applyAlignment="1">
      <alignment horizontal="center" textRotation="90"/>
    </xf>
    <xf numFmtId="0" fontId="0" fillId="0" borderId="0" xfId="2" applyFont="1" applyFill="1" applyAlignment="1">
      <alignment horizontal="center" vertical="center" textRotation="90"/>
    </xf>
    <xf numFmtId="0" fontId="0" fillId="0" borderId="0" xfId="0" applyFill="1"/>
    <xf numFmtId="0" fontId="0" fillId="0" borderId="0" xfId="0" applyAlignment="1">
      <alignment horizontal="center" vertical="center"/>
    </xf>
    <xf numFmtId="0" fontId="0" fillId="0" borderId="8" xfId="0" applyFill="1" applyBorder="1" applyAlignment="1">
      <alignment horizontal="center" vertical="center" wrapText="1"/>
    </xf>
    <xf numFmtId="16" fontId="14" fillId="0" borderId="8" xfId="0" applyNumberFormat="1" applyFont="1" applyFill="1" applyBorder="1" applyAlignment="1">
      <alignment horizontal="center" vertical="center" wrapText="1"/>
    </xf>
    <xf numFmtId="16" fontId="14" fillId="6" borderId="8" xfId="0" applyNumberFormat="1" applyFont="1" applyFill="1" applyBorder="1" applyAlignment="1">
      <alignment horizontal="center" vertical="center" wrapText="1"/>
    </xf>
    <xf numFmtId="16" fontId="14" fillId="5" borderId="8" xfId="0" applyNumberFormat="1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/>
    </xf>
    <xf numFmtId="16" fontId="14" fillId="5" borderId="9" xfId="0" applyNumberFormat="1" applyFont="1" applyFill="1" applyBorder="1" applyAlignment="1">
      <alignment horizontal="center" vertical="center" wrapText="1"/>
    </xf>
    <xf numFmtId="0" fontId="0" fillId="0" borderId="8" xfId="0" applyFill="1" applyBorder="1" applyAlignment="1">
      <alignment horizontal="right" vertical="center" wrapText="1"/>
    </xf>
    <xf numFmtId="16" fontId="0" fillId="0" borderId="8" xfId="0" applyNumberFormat="1" applyFill="1" applyBorder="1"/>
    <xf numFmtId="0" fontId="0" fillId="0" borderId="9" xfId="0" applyFill="1" applyBorder="1" applyAlignment="1">
      <alignment horizontal="center" vertical="center" wrapText="1"/>
    </xf>
    <xf numFmtId="16" fontId="0" fillId="6" borderId="8" xfId="0" applyNumberFormat="1" applyFill="1" applyBorder="1"/>
    <xf numFmtId="16" fontId="0" fillId="6" borderId="8" xfId="0" applyNumberFormat="1" applyFill="1" applyBorder="1" applyAlignment="1">
      <alignment horizontal="center"/>
    </xf>
    <xf numFmtId="0" fontId="0" fillId="0" borderId="9" xfId="0" applyBorder="1" applyAlignment="1">
      <alignment horizontal="justify" vertical="justify"/>
    </xf>
    <xf numFmtId="0" fontId="0" fillId="0" borderId="8" xfId="0" applyBorder="1"/>
    <xf numFmtId="0" fontId="14" fillId="0" borderId="0" xfId="0" applyFont="1" applyAlignment="1" applyProtection="1">
      <alignment horizontal="right" vertical="center"/>
      <protection locked="0"/>
    </xf>
    <xf numFmtId="167" fontId="14" fillId="0" borderId="0" xfId="0" applyNumberFormat="1" applyFont="1" applyAlignment="1" applyProtection="1">
      <alignment horizontal="left" vertical="center"/>
      <protection locked="0"/>
    </xf>
    <xf numFmtId="167" fontId="14" fillId="0" borderId="0" xfId="0" applyNumberFormat="1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5" fillId="0" borderId="3" xfId="1" applyFont="1" applyFill="1" applyBorder="1" applyAlignment="1">
      <alignment horizontal="center" vertical="center"/>
    </xf>
    <xf numFmtId="0" fontId="6" fillId="0" borderId="3" xfId="1" applyFont="1" applyFill="1" applyBorder="1" applyAlignment="1">
      <alignment horizontal="center" vertical="center"/>
    </xf>
    <xf numFmtId="0" fontId="3" fillId="0" borderId="3" xfId="1" applyFont="1" applyFill="1" applyBorder="1" applyAlignment="1">
      <alignment horizontal="center" vertical="center"/>
    </xf>
    <xf numFmtId="0" fontId="10" fillId="7" borderId="7" xfId="1" applyFont="1" applyFill="1" applyBorder="1" applyAlignment="1">
      <alignment horizontal="center" vertical="center"/>
    </xf>
    <xf numFmtId="166" fontId="0" fillId="0" borderId="0" xfId="2" applyNumberFormat="1" applyFont="1" applyFill="1" applyAlignment="1">
      <alignment horizontal="center" vertical="center" textRotation="90"/>
    </xf>
    <xf numFmtId="166" fontId="12" fillId="0" borderId="0" xfId="1" applyNumberFormat="1" applyFont="1" applyFill="1" applyBorder="1" applyAlignment="1">
      <alignment horizontal="center" vertical="center" textRotation="90"/>
    </xf>
    <xf numFmtId="16" fontId="0" fillId="0" borderId="8" xfId="0" applyNumberFormat="1" applyFill="1" applyBorder="1" applyAlignment="1">
      <alignment horizontal="right" vertical="center" wrapText="1"/>
    </xf>
    <xf numFmtId="0" fontId="0" fillId="10" borderId="0" xfId="2" applyFont="1" applyFill="1" applyAlignment="1">
      <alignment horizontal="center" vertical="center" textRotation="90"/>
    </xf>
    <xf numFmtId="0" fontId="0" fillId="0" borderId="0" xfId="0" applyAlignment="1">
      <alignment horizontal="justify" vertical="justify"/>
    </xf>
    <xf numFmtId="0" fontId="0" fillId="0" borderId="9" xfId="0" applyFill="1" applyBorder="1" applyAlignment="1">
      <alignment horizontal="justify" vertical="justify" wrapText="1"/>
    </xf>
    <xf numFmtId="0" fontId="0" fillId="9" borderId="9" xfId="0" applyFill="1" applyBorder="1" applyAlignment="1">
      <alignment horizontal="justify" vertical="justify" wrapText="1"/>
    </xf>
    <xf numFmtId="0" fontId="15" fillId="0" borderId="0" xfId="0" applyFont="1" applyAlignment="1">
      <alignment horizontal="justify" vertical="justify"/>
    </xf>
    <xf numFmtId="0" fontId="15" fillId="0" borderId="0" xfId="0" applyFont="1" applyFill="1" applyAlignment="1">
      <alignment horizontal="justify" vertical="justify"/>
    </xf>
    <xf numFmtId="166" fontId="12" fillId="10" borderId="0" xfId="1" applyNumberFormat="1" applyFont="1" applyFill="1" applyBorder="1" applyAlignment="1">
      <alignment horizontal="center" vertical="center" textRotation="90"/>
    </xf>
    <xf numFmtId="166" fontId="0" fillId="10" borderId="0" xfId="2" applyNumberFormat="1" applyFont="1" applyFill="1" applyAlignment="1">
      <alignment horizontal="center" vertical="center" textRotation="90"/>
    </xf>
    <xf numFmtId="0" fontId="15" fillId="0" borderId="8" xfId="0" applyFont="1" applyBorder="1" applyAlignment="1">
      <alignment horizontal="justify" vertical="justify"/>
    </xf>
    <xf numFmtId="0" fontId="0" fillId="0" borderId="0" xfId="2" applyFont="1" applyFill="1" applyAlignment="1">
      <alignment horizontal="center" vertical="center"/>
    </xf>
    <xf numFmtId="0" fontId="18" fillId="11" borderId="0" xfId="0" applyFont="1" applyFill="1"/>
    <xf numFmtId="0" fontId="18" fillId="13" borderId="0" xfId="0" applyFont="1" applyFill="1"/>
    <xf numFmtId="0" fontId="0" fillId="10" borderId="0" xfId="2" applyNumberFormat="1" applyFont="1" applyFill="1" applyAlignment="1">
      <alignment horizontal="center" vertical="center" textRotation="90"/>
    </xf>
    <xf numFmtId="0" fontId="0" fillId="12" borderId="0" xfId="2" applyFont="1" applyFill="1" applyAlignment="1">
      <alignment horizontal="center" vertical="center" textRotation="90"/>
    </xf>
    <xf numFmtId="0" fontId="18" fillId="0" borderId="0" xfId="0" applyFont="1" applyFill="1"/>
    <xf numFmtId="0" fontId="18" fillId="14" borderId="0" xfId="0" applyFont="1" applyFill="1"/>
    <xf numFmtId="0" fontId="0" fillId="14" borderId="0" xfId="2" applyFont="1" applyFill="1" applyAlignment="1">
      <alignment horizontal="center" vertical="center" textRotation="90"/>
    </xf>
    <xf numFmtId="0" fontId="0" fillId="11" borderId="0" xfId="2" applyFont="1" applyFill="1" applyAlignment="1">
      <alignment horizontal="center" vertical="center" textRotation="90"/>
    </xf>
    <xf numFmtId="0" fontId="18" fillId="15" borderId="0" xfId="0" applyFont="1" applyFill="1"/>
    <xf numFmtId="0" fontId="0" fillId="15" borderId="0" xfId="2" applyFont="1" applyFill="1" applyAlignment="1">
      <alignment horizontal="center" vertical="center" textRotation="90"/>
    </xf>
    <xf numFmtId="0" fontId="18" fillId="16" borderId="0" xfId="0" applyFont="1" applyFill="1"/>
    <xf numFmtId="0" fontId="0" fillId="16" borderId="0" xfId="2" applyFont="1" applyFill="1" applyAlignment="1">
      <alignment horizontal="center" vertical="center" textRotation="90"/>
    </xf>
    <xf numFmtId="0" fontId="18" fillId="17" borderId="0" xfId="0" applyFont="1" applyFill="1"/>
    <xf numFmtId="0" fontId="0" fillId="17" borderId="0" xfId="2" applyFont="1" applyFill="1" applyAlignment="1">
      <alignment horizontal="center" vertical="center" textRotation="90"/>
    </xf>
    <xf numFmtId="0" fontId="18" fillId="18" borderId="0" xfId="0" applyFont="1" applyFill="1"/>
    <xf numFmtId="0" fontId="0" fillId="18" borderId="0" xfId="2" applyFont="1" applyFill="1" applyAlignment="1">
      <alignment horizontal="center" vertical="center" textRotation="90"/>
    </xf>
    <xf numFmtId="0" fontId="18" fillId="19" borderId="0" xfId="0" applyFont="1" applyFill="1"/>
    <xf numFmtId="0" fontId="0" fillId="19" borderId="0" xfId="2" applyFont="1" applyFill="1" applyAlignment="1">
      <alignment horizontal="center" vertical="center" textRotation="90"/>
    </xf>
    <xf numFmtId="0" fontId="0" fillId="0" borderId="0" xfId="0" applyNumberFormat="1" applyFont="1" applyFill="1" applyAlignment="1">
      <alignment horizontal="justify" vertical="justify"/>
    </xf>
    <xf numFmtId="0" fontId="13" fillId="0" borderId="0" xfId="2" applyFont="1" applyFill="1" applyAlignment="1">
      <alignment horizontal="justify" vertical="justify"/>
    </xf>
    <xf numFmtId="165" fontId="11" fillId="8" borderId="7" xfId="1" applyNumberFormat="1" applyFont="1" applyFill="1" applyBorder="1" applyAlignment="1">
      <alignment horizontal="center" vertical="center"/>
    </xf>
    <xf numFmtId="0" fontId="3" fillId="10" borderId="3" xfId="1" applyNumberFormat="1" applyFont="1" applyFill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6" fillId="0" borderId="2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16" fontId="6" fillId="0" borderId="2" xfId="1" applyNumberFormat="1" applyFont="1" applyFill="1" applyBorder="1" applyAlignment="1">
      <alignment horizontal="center" vertical="center"/>
    </xf>
    <xf numFmtId="0" fontId="0" fillId="20" borderId="0" xfId="2" applyFont="1" applyFill="1" applyAlignment="1">
      <alignment horizontal="center" vertical="center" textRotation="90"/>
    </xf>
    <xf numFmtId="0" fontId="0" fillId="21" borderId="0" xfId="2" applyFont="1" applyFill="1" applyAlignment="1">
      <alignment horizontal="center" vertical="center" textRotation="90"/>
    </xf>
    <xf numFmtId="16" fontId="0" fillId="0" borderId="0" xfId="0" applyNumberFormat="1"/>
    <xf numFmtId="16" fontId="0" fillId="0" borderId="0" xfId="2" applyNumberFormat="1" applyFont="1" applyFill="1" applyAlignment="1">
      <alignment horizontal="center" vertical="center" textRotation="90"/>
    </xf>
    <xf numFmtId="0" fontId="0" fillId="22" borderId="0" xfId="2" applyFont="1" applyFill="1" applyAlignment="1">
      <alignment horizontal="center" vertical="center" textRotation="90"/>
    </xf>
    <xf numFmtId="0" fontId="0" fillId="23" borderId="0" xfId="2" applyFont="1" applyFill="1" applyAlignment="1">
      <alignment horizontal="center" vertical="center" textRotation="90"/>
    </xf>
    <xf numFmtId="0" fontId="0" fillId="0" borderId="0" xfId="0" applyFill="1" applyAlignment="1"/>
    <xf numFmtId="168" fontId="0" fillId="0" borderId="0" xfId="0" applyNumberFormat="1" applyAlignment="1">
      <alignment horizontal="center" vertical="center"/>
    </xf>
    <xf numFmtId="16" fontId="0" fillId="11" borderId="8" xfId="0" applyNumberFormat="1" applyFill="1" applyBorder="1"/>
    <xf numFmtId="14" fontId="0" fillId="11" borderId="8" xfId="0" applyNumberFormat="1" applyFill="1" applyBorder="1"/>
    <xf numFmtId="166" fontId="12" fillId="24" borderId="0" xfId="1" applyNumberFormat="1" applyFont="1" applyFill="1" applyBorder="1" applyAlignment="1">
      <alignment horizontal="center" vertical="center" textRotation="90"/>
    </xf>
    <xf numFmtId="166" fontId="0" fillId="24" borderId="0" xfId="2" applyNumberFormat="1" applyFont="1" applyFill="1" applyAlignment="1">
      <alignment horizontal="center" vertical="center" textRotation="90"/>
    </xf>
    <xf numFmtId="0" fontId="0" fillId="24" borderId="0" xfId="2" applyFont="1" applyFill="1" applyAlignment="1">
      <alignment horizontal="center" vertical="center" textRotation="90"/>
    </xf>
    <xf numFmtId="16" fontId="0" fillId="24" borderId="8" xfId="0" applyNumberFormat="1" applyFill="1" applyBorder="1"/>
    <xf numFmtId="0" fontId="0" fillId="24" borderId="9" xfId="0" applyFill="1" applyBorder="1" applyAlignment="1">
      <alignment horizontal="justify" vertical="justify"/>
    </xf>
    <xf numFmtId="14" fontId="0" fillId="0" borderId="8" xfId="0" applyNumberFormat="1" applyBorder="1"/>
    <xf numFmtId="16" fontId="0" fillId="0" borderId="8" xfId="0" applyNumberFormat="1" applyBorder="1" applyAlignment="1">
      <alignment horizontal="center"/>
    </xf>
    <xf numFmtId="0" fontId="0" fillId="10" borderId="0" xfId="2" applyFont="1" applyFill="1" applyAlignment="1">
      <alignment horizontal="center" vertical="center"/>
    </xf>
    <xf numFmtId="168" fontId="0" fillId="10" borderId="0" xfId="0" applyNumberFormat="1" applyFill="1" applyAlignment="1">
      <alignment horizontal="center" vertical="center"/>
    </xf>
    <xf numFmtId="0" fontId="0" fillId="10" borderId="0" xfId="0" applyFill="1"/>
    <xf numFmtId="16" fontId="0" fillId="0" borderId="8" xfId="0" applyNumberFormat="1" applyBorder="1"/>
    <xf numFmtId="0" fontId="0" fillId="0" borderId="8" xfId="2" applyFont="1" applyFill="1" applyBorder="1" applyAlignment="1">
      <alignment horizontal="center" vertical="center"/>
    </xf>
    <xf numFmtId="0" fontId="0" fillId="0" borderId="8" xfId="0" applyFill="1" applyBorder="1" applyAlignment="1"/>
    <xf numFmtId="0" fontId="0" fillId="0" borderId="8" xfId="0" applyFill="1" applyBorder="1"/>
    <xf numFmtId="0" fontId="0" fillId="0" borderId="0" xfId="0" applyFill="1" applyAlignment="1">
      <alignment horizontal="justify"/>
    </xf>
    <xf numFmtId="0" fontId="0" fillId="0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14" fontId="0" fillId="10" borderId="0" xfId="0" applyNumberFormat="1" applyFill="1"/>
    <xf numFmtId="0" fontId="0" fillId="5" borderId="8" xfId="2" applyFont="1" applyFill="1" applyBorder="1" applyAlignment="1">
      <alignment horizontal="center" vertical="center"/>
    </xf>
    <xf numFmtId="14" fontId="0" fillId="5" borderId="8" xfId="0" applyNumberFormat="1" applyFill="1" applyBorder="1"/>
    <xf numFmtId="0" fontId="0" fillId="5" borderId="8" xfId="0" applyFill="1" applyBorder="1"/>
    <xf numFmtId="16" fontId="0" fillId="5" borderId="8" xfId="0" applyNumberFormat="1" applyFill="1" applyBorder="1"/>
    <xf numFmtId="16" fontId="0" fillId="25" borderId="8" xfId="0" applyNumberFormat="1" applyFill="1" applyBorder="1"/>
    <xf numFmtId="0" fontId="0" fillId="25" borderId="9" xfId="0" applyFill="1" applyBorder="1" applyAlignment="1">
      <alignment horizontal="center" vertical="center" wrapText="1"/>
    </xf>
    <xf numFmtId="0" fontId="3" fillId="25" borderId="2" xfId="1" applyNumberFormat="1" applyFont="1" applyFill="1" applyBorder="1" applyAlignment="1">
      <alignment horizontal="center" vertical="center"/>
    </xf>
    <xf numFmtId="14" fontId="0" fillId="0" borderId="8" xfId="0" applyNumberFormat="1" applyFill="1" applyBorder="1"/>
    <xf numFmtId="0" fontId="19" fillId="0" borderId="0" xfId="2" applyFont="1" applyFill="1" applyAlignment="1">
      <alignment horizontal="center" vertical="center"/>
    </xf>
    <xf numFmtId="168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165" fontId="3" fillId="9" borderId="5" xfId="1" applyNumberFormat="1" applyFont="1" applyFill="1" applyBorder="1" applyAlignment="1">
      <alignment horizontal="center" vertical="center"/>
    </xf>
    <xf numFmtId="165" fontId="3" fillId="25" borderId="6" xfId="1" applyNumberFormat="1" applyFont="1" applyFill="1" applyBorder="1" applyAlignment="1">
      <alignment horizontal="center" vertical="center"/>
    </xf>
    <xf numFmtId="0" fontId="0" fillId="26" borderId="0" xfId="2" applyFont="1" applyFill="1" applyAlignment="1">
      <alignment horizontal="center" vertical="center" textRotation="90"/>
    </xf>
    <xf numFmtId="0" fontId="3" fillId="26" borderId="2" xfId="1" applyNumberFormat="1" applyFont="1" applyFill="1" applyBorder="1" applyAlignment="1">
      <alignment horizontal="center" vertical="center"/>
    </xf>
    <xf numFmtId="166" fontId="12" fillId="26" borderId="0" xfId="1" applyNumberFormat="1" applyFont="1" applyFill="1" applyBorder="1" applyAlignment="1">
      <alignment horizontal="center" vertical="center" textRotation="90"/>
    </xf>
    <xf numFmtId="166" fontId="0" fillId="26" borderId="0" xfId="2" applyNumberFormat="1" applyFont="1" applyFill="1" applyAlignment="1">
      <alignment horizontal="center" vertical="center" textRotation="90"/>
    </xf>
    <xf numFmtId="16" fontId="2" fillId="5" borderId="8" xfId="0" applyNumberFormat="1" applyFont="1" applyFill="1" applyBorder="1" applyAlignment="1">
      <alignment horizontal="center" vertical="center" wrapText="1"/>
    </xf>
    <xf numFmtId="0" fontId="0" fillId="26" borderId="0" xfId="2" applyFont="1" applyFill="1" applyAlignment="1">
      <alignment horizontal="center" vertical="center"/>
    </xf>
    <xf numFmtId="168" fontId="0" fillId="26" borderId="0" xfId="0" applyNumberFormat="1" applyFill="1" applyAlignment="1">
      <alignment horizontal="center" vertical="center"/>
    </xf>
    <xf numFmtId="0" fontId="0" fillId="26" borderId="0" xfId="0" applyFill="1"/>
    <xf numFmtId="0" fontId="0" fillId="26" borderId="0" xfId="0" applyFill="1" applyAlignment="1">
      <alignment horizontal="center" vertical="center"/>
    </xf>
    <xf numFmtId="0" fontId="19" fillId="25" borderId="0" xfId="0" applyFont="1" applyFill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9" fillId="10" borderId="0" xfId="0" applyFont="1" applyFill="1" applyAlignment="1">
      <alignment horizontal="center" vertical="center"/>
    </xf>
    <xf numFmtId="0" fontId="3" fillId="5" borderId="2" xfId="1" applyNumberFormat="1" applyFont="1" applyFill="1" applyBorder="1" applyAlignment="1">
      <alignment horizontal="center" vertical="center"/>
    </xf>
    <xf numFmtId="0" fontId="0" fillId="27" borderId="0" xfId="2" applyFont="1" applyFill="1" applyAlignment="1">
      <alignment horizontal="center" vertical="center" textRotation="90"/>
    </xf>
    <xf numFmtId="166" fontId="12" fillId="27" borderId="0" xfId="1" applyNumberFormat="1" applyFont="1" applyFill="1" applyBorder="1" applyAlignment="1">
      <alignment horizontal="center" vertical="center" textRotation="90"/>
    </xf>
    <xf numFmtId="166" fontId="0" fillId="27" borderId="0" xfId="2" applyNumberFormat="1" applyFont="1" applyFill="1" applyAlignment="1">
      <alignment horizontal="center" vertical="center" textRotation="90"/>
    </xf>
  </cellXfs>
  <cellStyles count="3">
    <cellStyle name="Normal" xfId="0" builtinId="0"/>
    <cellStyle name="Normal 13" xfId="2"/>
    <cellStyle name="Normal 2 2" xfId="1"/>
  </cellStyles>
  <dxfs count="2">
    <dxf>
      <font>
        <b/>
        <i val="0"/>
      </font>
      <fill>
        <patternFill>
          <bgColor rgb="FF00FF00"/>
        </patternFill>
      </fill>
    </dxf>
    <dxf>
      <font>
        <b/>
        <i val="0"/>
        <color rgb="FF002060"/>
      </font>
      <fill>
        <patternFill>
          <bgColor rgb="FF002060"/>
        </patternFill>
      </fill>
    </dxf>
  </dxfs>
  <tableStyles count="0" defaultTableStyle="TableStyleMedium2" defaultPivotStyle="PivotStyleLight16"/>
  <colors>
    <mruColors>
      <color rgb="FFCCC0D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19050</xdr:rowOff>
        </xdr:from>
        <xdr:to>
          <xdr:col>4</xdr:col>
          <xdr:colOff>0</xdr:colOff>
          <xdr:row>1</xdr:row>
          <xdr:rowOff>371475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Sales Orders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5.%20Cell%20Data\PWAA_CCC\CCC_Operations\PWC%20OEM%20LOB_3%2010%20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 2 25 16 (Q2 2016)"/>
      <sheetName val="Summary 3 30 2016 (Q2 to Q3 16)"/>
      <sheetName val="30B4795-01 (306)"/>
      <sheetName val="30P2487-01 (307)"/>
      <sheetName val="30C5587-01 (308)"/>
      <sheetName val="30C5681-01 (308)"/>
      <sheetName val="30J3460-01 (545)"/>
      <sheetName val="30J3038-01 (545)"/>
      <sheetName val="30J3037-01 (545)"/>
      <sheetName val="3072198-01 (LVB)"/>
      <sheetName val="3054905-01 (UVB)"/>
      <sheetName val="3053625-01 (150 DUCT)"/>
      <sheetName val="3912216-01 (ATTENUATOR)"/>
      <sheetName val="Launch"/>
      <sheetName val="Summary 02 10 16"/>
      <sheetName val="Holiday Schedule"/>
      <sheetName val="Details"/>
      <sheetName val="updated Q3 summary 4_14_16 AK "/>
      <sheetName val="April Break Down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">
          <cell r="AP3" t="str">
            <v>RAW</v>
          </cell>
        </row>
        <row r="4">
          <cell r="AP4" t="str">
            <v>WIP</v>
          </cell>
        </row>
        <row r="5">
          <cell r="AP5" t="str">
            <v>RFA</v>
          </cell>
        </row>
        <row r="6">
          <cell r="AP6" t="str">
            <v>SCRAP</v>
          </cell>
        </row>
      </sheetData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I177"/>
  <sheetViews>
    <sheetView tabSelected="1" zoomScale="70" zoomScaleNormal="70" workbookViewId="0">
      <pane xSplit="2" topLeftCell="H1" activePane="topRight" state="frozen"/>
      <selection activeCell="A9" sqref="A9"/>
      <selection pane="topRight" activeCell="O8" sqref="O8"/>
    </sheetView>
  </sheetViews>
  <sheetFormatPr defaultColWidth="0" defaultRowHeight="14.25" x14ac:dyDescent="0.2"/>
  <cols>
    <col min="1" max="1" width="14" customWidth="1"/>
    <col min="2" max="2" width="20.25" customWidth="1"/>
    <col min="3" max="7" width="12.625" hidden="1" customWidth="1"/>
    <col min="8" max="8" width="12.625" customWidth="1"/>
    <col min="9" max="9" width="10.75" customWidth="1"/>
    <col min="10" max="36" width="12.625" customWidth="1"/>
    <col min="37" max="38" width="12.625" hidden="1" customWidth="1"/>
    <col min="39" max="39" width="6.25" hidden="1" customWidth="1"/>
    <col min="40" max="40" width="6.375" hidden="1" customWidth="1"/>
    <col min="41" max="109" width="12.625" customWidth="1"/>
    <col min="110" max="110" width="6" customWidth="1"/>
    <col min="111" max="241" width="0" hidden="1" customWidth="1"/>
    <col min="244" max="16384" width="6" hidden="1"/>
  </cols>
  <sheetData>
    <row r="1" spans="1:144" ht="15" thickBot="1" x14ac:dyDescent="0.25">
      <c r="A1" s="1"/>
      <c r="B1" s="2" t="s">
        <v>49</v>
      </c>
      <c r="C1" s="3"/>
      <c r="D1" s="3"/>
      <c r="E1" s="3"/>
      <c r="F1" s="3"/>
      <c r="G1" s="3"/>
      <c r="H1" s="3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 t="s">
        <v>0</v>
      </c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</row>
    <row r="2" spans="1:144" ht="11.45" customHeight="1" thickBot="1" x14ac:dyDescent="0.25">
      <c r="A2" s="6"/>
      <c r="B2" s="48" t="s">
        <v>1</v>
      </c>
      <c r="C2" s="7"/>
      <c r="D2" s="7"/>
      <c r="E2" s="7"/>
      <c r="F2" s="7"/>
      <c r="G2" s="7"/>
      <c r="H2" s="7"/>
      <c r="I2" s="8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 t="s">
        <v>2</v>
      </c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</row>
    <row r="3" spans="1:144" ht="16.5" thickBot="1" x14ac:dyDescent="0.25">
      <c r="A3" s="6"/>
      <c r="B3" s="49" t="s">
        <v>3</v>
      </c>
      <c r="C3" s="9"/>
      <c r="D3" s="9"/>
      <c r="E3" s="9"/>
      <c r="F3" s="9"/>
      <c r="G3" s="9"/>
      <c r="H3" s="9"/>
      <c r="I3" s="88"/>
      <c r="J3" s="9"/>
      <c r="K3" s="8">
        <v>42440</v>
      </c>
      <c r="L3" s="9"/>
      <c r="M3" s="9"/>
      <c r="N3" s="9"/>
      <c r="O3" s="9"/>
      <c r="P3" s="9"/>
      <c r="Q3" s="9"/>
      <c r="R3" s="8">
        <v>42439</v>
      </c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8"/>
      <c r="AL3" s="8"/>
      <c r="AM3" s="8"/>
      <c r="AN3" s="8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</row>
    <row r="4" spans="1:144" s="17" customFormat="1" ht="16.5" thickBot="1" x14ac:dyDescent="0.3">
      <c r="A4" s="10"/>
      <c r="B4" s="49" t="s">
        <v>50</v>
      </c>
      <c r="C4" s="13">
        <v>42474</v>
      </c>
      <c r="D4" s="13">
        <v>42479</v>
      </c>
      <c r="E4" s="13">
        <v>42478</v>
      </c>
      <c r="F4" s="13">
        <v>42471</v>
      </c>
      <c r="G4" s="13">
        <v>42499</v>
      </c>
      <c r="H4" s="13">
        <v>42493</v>
      </c>
      <c r="I4" s="91">
        <v>42493</v>
      </c>
      <c r="J4" s="13">
        <v>42491</v>
      </c>
      <c r="K4" s="14">
        <v>42471</v>
      </c>
      <c r="L4" s="13">
        <v>42499</v>
      </c>
      <c r="M4" s="13">
        <v>42499</v>
      </c>
      <c r="N4" s="13">
        <v>42506</v>
      </c>
      <c r="O4" s="13">
        <v>42479</v>
      </c>
      <c r="P4" s="13">
        <v>42477</v>
      </c>
      <c r="Q4" s="13">
        <v>42443</v>
      </c>
      <c r="R4" s="13">
        <v>42454</v>
      </c>
      <c r="S4" s="13">
        <v>42489</v>
      </c>
      <c r="T4" s="13">
        <v>42478</v>
      </c>
      <c r="U4" s="13">
        <v>42489</v>
      </c>
      <c r="V4" s="13">
        <v>42479</v>
      </c>
      <c r="W4" s="13">
        <v>42501</v>
      </c>
      <c r="X4" s="13">
        <v>42500</v>
      </c>
      <c r="Y4" s="13">
        <v>42493</v>
      </c>
      <c r="Z4" s="13">
        <v>42489</v>
      </c>
      <c r="AA4" s="13"/>
      <c r="AB4" s="13">
        <v>42464</v>
      </c>
      <c r="AC4" s="13">
        <v>42497</v>
      </c>
      <c r="AD4" s="13"/>
      <c r="AE4" s="13">
        <v>42493</v>
      </c>
      <c r="AF4" s="13">
        <v>42470</v>
      </c>
      <c r="AG4" s="13">
        <v>42484</v>
      </c>
      <c r="AH4" s="13">
        <v>42505</v>
      </c>
      <c r="AI4" s="13"/>
      <c r="AJ4" s="13">
        <v>42478</v>
      </c>
      <c r="AK4" s="11">
        <v>42436</v>
      </c>
      <c r="AL4" s="11">
        <v>42438</v>
      </c>
      <c r="AM4" s="12">
        <v>42444</v>
      </c>
      <c r="AN4" s="13">
        <v>42454</v>
      </c>
      <c r="AO4" s="13">
        <v>42484</v>
      </c>
      <c r="AP4" s="13">
        <v>42504</v>
      </c>
      <c r="AQ4" s="13"/>
      <c r="AR4" s="13">
        <v>42472</v>
      </c>
      <c r="AS4" s="13">
        <v>42492</v>
      </c>
      <c r="AT4" s="13"/>
      <c r="AU4" s="13"/>
      <c r="AV4" s="13">
        <v>42493</v>
      </c>
      <c r="AW4" s="13">
        <v>42493</v>
      </c>
      <c r="AX4" s="13">
        <v>42493</v>
      </c>
      <c r="AY4" s="13">
        <v>42478</v>
      </c>
      <c r="AZ4" s="13">
        <v>42447</v>
      </c>
      <c r="BA4" s="13">
        <v>42483</v>
      </c>
      <c r="BB4" s="13">
        <v>42465</v>
      </c>
      <c r="BC4" s="13">
        <v>42490</v>
      </c>
      <c r="BD4" s="13">
        <v>42510</v>
      </c>
      <c r="BE4" s="13">
        <v>42505</v>
      </c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</row>
    <row r="5" spans="1:144" ht="16.5" thickBot="1" x14ac:dyDescent="0.25">
      <c r="A5" s="18"/>
      <c r="B5" s="49" t="s">
        <v>4</v>
      </c>
      <c r="C5" s="19"/>
      <c r="D5" s="19"/>
      <c r="E5" s="19"/>
      <c r="F5" s="19"/>
      <c r="G5" s="19"/>
      <c r="H5" s="19"/>
      <c r="I5" s="88"/>
      <c r="J5" s="19"/>
      <c r="K5" s="19">
        <f>K14</f>
        <v>42499</v>
      </c>
      <c r="L5" s="19"/>
      <c r="M5" s="19"/>
      <c r="N5" s="19"/>
      <c r="O5" s="19"/>
      <c r="P5" s="19"/>
      <c r="Q5" s="19"/>
      <c r="R5" s="19">
        <f>R14</f>
        <v>42499</v>
      </c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>
        <f>AK14</f>
        <v>42436</v>
      </c>
      <c r="AL5" s="19">
        <f t="shared" ref="AL5:AN5" si="0">AL14</f>
        <v>42438</v>
      </c>
      <c r="AM5" s="19">
        <f t="shared" si="0"/>
        <v>42443</v>
      </c>
      <c r="AN5" s="19">
        <f t="shared" si="0"/>
        <v>42460</v>
      </c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</row>
    <row r="6" spans="1:144" ht="15" thickBot="1" x14ac:dyDescent="0.25">
      <c r="B6" s="50" t="s">
        <v>5</v>
      </c>
      <c r="C6" s="20">
        <f>IF(C8="",AJ6+1,0)</f>
        <v>0</v>
      </c>
      <c r="D6" s="20">
        <f>IF(D8="",AO6+1,0)</f>
        <v>0</v>
      </c>
      <c r="E6" s="20">
        <f>IF(E8="",AF6+1,0)</f>
        <v>0</v>
      </c>
      <c r="F6" s="20">
        <f>IF(F8="",E6+1,0)</f>
        <v>0</v>
      </c>
      <c r="G6" s="20">
        <f>IF(G8="",U6+1,0)</f>
        <v>0</v>
      </c>
      <c r="H6" s="20">
        <f>IF(H8="",AE6+1,0)</f>
        <v>0</v>
      </c>
      <c r="I6" s="89"/>
      <c r="J6" s="20">
        <f>IF(J8="",Q6+1,0)</f>
        <v>0</v>
      </c>
      <c r="K6" s="9"/>
      <c r="L6" s="20">
        <f>IF(L8="",AT6+1,0)</f>
        <v>0</v>
      </c>
      <c r="M6" s="20">
        <f>IF(M8="",L6+1,0)</f>
        <v>0</v>
      </c>
      <c r="N6" s="20">
        <f>IF(N8="",W6+1,0)</f>
        <v>0</v>
      </c>
      <c r="O6" s="20">
        <f>IF(O8="",AX6+1,0)</f>
        <v>0</v>
      </c>
      <c r="P6" s="20">
        <f>IF(P8="",BC6+1,0)</f>
        <v>0</v>
      </c>
      <c r="Q6" s="20">
        <f>IF(Q8="",C6+1,0)</f>
        <v>0</v>
      </c>
      <c r="R6" s="9"/>
      <c r="S6" s="20">
        <f>IF(S8="",J6+1,0)</f>
        <v>0</v>
      </c>
      <c r="T6" s="20">
        <f>IF(T8="",AR6+1,0)</f>
        <v>0</v>
      </c>
      <c r="U6" s="20">
        <f>IF(U8="",Y6+1,0)</f>
        <v>0</v>
      </c>
      <c r="V6" s="20">
        <f>IF(V8="",AH6+1,0)</f>
        <v>2</v>
      </c>
      <c r="W6" s="20">
        <f>IF(W8="",V6+1,0)</f>
        <v>3</v>
      </c>
      <c r="X6" s="20">
        <f>IF(X8="",AG6+1,0)</f>
        <v>3</v>
      </c>
      <c r="Y6" s="20">
        <f>IF(Y8="",R6+1,0)</f>
        <v>0</v>
      </c>
      <c r="Z6" s="20">
        <f>IF(Z8="",S6+1,0)</f>
        <v>0</v>
      </c>
      <c r="AA6" s="20">
        <f>IF(AA8="",H6+1,0)</f>
        <v>1</v>
      </c>
      <c r="AB6" s="20">
        <f>IF(AB8="",G6+1,0)</f>
        <v>0</v>
      </c>
      <c r="AC6" s="20">
        <f>IF(AC8="",BB6+1,0)</f>
        <v>0</v>
      </c>
      <c r="AD6" s="20">
        <f>IF(AD8="",AI6+1,0)</f>
        <v>6</v>
      </c>
      <c r="AE6" s="20">
        <f>IF(AE8="",BA6+1,0)</f>
        <v>1</v>
      </c>
      <c r="AF6" s="20">
        <f>IF(AF8="",T6+1,0)</f>
        <v>0</v>
      </c>
      <c r="AG6" s="20">
        <f>IF(AG8="",AA6+1,0)</f>
        <v>2</v>
      </c>
      <c r="AH6" s="20">
        <f>IF(AH8="",M6+1,0)</f>
        <v>1</v>
      </c>
      <c r="AI6" s="20">
        <f>IF(AI8="",AQ6+1,0)</f>
        <v>5</v>
      </c>
      <c r="AJ6" s="20">
        <f>IF(AJ8="",D6+1,0)</f>
        <v>0</v>
      </c>
      <c r="AK6" s="9"/>
      <c r="AL6" s="9"/>
      <c r="AM6" s="9"/>
      <c r="AN6" s="9"/>
      <c r="AO6" s="20">
        <f>IF(AO8="",F6+1,0)</f>
        <v>0</v>
      </c>
      <c r="AP6" s="20">
        <f>IF(AP8="",X6+1,0)</f>
        <v>4</v>
      </c>
      <c r="AQ6" s="20">
        <f>IF(AQ8="",AU6+1,0)</f>
        <v>4</v>
      </c>
      <c r="AR6" s="20">
        <f>IF(AR8="",AB6+1,0)</f>
        <v>0</v>
      </c>
      <c r="AS6" s="20">
        <f>IF(AS8="",AZ6+1,0)</f>
        <v>0</v>
      </c>
      <c r="AT6" s="20">
        <f>IF(AT8="",AP6+1,0)</f>
        <v>5</v>
      </c>
      <c r="AU6" s="20">
        <f>IF(AU8="",BE6+1,0)</f>
        <v>3</v>
      </c>
      <c r="AV6" s="20">
        <f>IF(AV8="",O6+1,0)</f>
        <v>0</v>
      </c>
      <c r="AW6" s="20">
        <f>IF(AW8="",Z6+1,0)</f>
        <v>0</v>
      </c>
      <c r="AX6" s="20">
        <f>IF(AX8="",P6+1,0)</f>
        <v>0</v>
      </c>
      <c r="AY6" s="20">
        <f>IF(AY8="",AV6+1,0)</f>
        <v>0</v>
      </c>
      <c r="AZ6" s="20">
        <f>IF(AZ8="",AW6+1,0)</f>
        <v>0</v>
      </c>
      <c r="BA6" s="20">
        <f>IF(BA8="",AY6+1,0)</f>
        <v>0</v>
      </c>
      <c r="BB6" s="20">
        <f>IF(BB8="",AS6+1,0)</f>
        <v>0</v>
      </c>
      <c r="BC6" s="20">
        <f>IF(BC8="",AC6+1,0)</f>
        <v>0</v>
      </c>
      <c r="BD6" s="20">
        <f>IF(BD8="",N6+1,0)</f>
        <v>1</v>
      </c>
      <c r="BE6" s="20">
        <f t="shared" ref="BE6:BU6" si="1">IF(BE8="",BD6+1,0)</f>
        <v>2</v>
      </c>
      <c r="BF6" s="20">
        <f>IF(BF8="",AD6+1,0)</f>
        <v>7</v>
      </c>
      <c r="BG6" s="20">
        <f t="shared" si="1"/>
        <v>8</v>
      </c>
      <c r="BH6" s="20">
        <f t="shared" si="1"/>
        <v>9</v>
      </c>
      <c r="BI6" s="20">
        <f t="shared" si="1"/>
        <v>10</v>
      </c>
      <c r="BJ6" s="20">
        <f t="shared" si="1"/>
        <v>11</v>
      </c>
      <c r="BK6" s="20">
        <f t="shared" si="1"/>
        <v>12</v>
      </c>
      <c r="BL6" s="20">
        <f t="shared" si="1"/>
        <v>13</v>
      </c>
      <c r="BM6" s="20">
        <f t="shared" si="1"/>
        <v>14</v>
      </c>
      <c r="BN6" s="20">
        <f t="shared" si="1"/>
        <v>15</v>
      </c>
      <c r="BO6" s="20">
        <f t="shared" si="1"/>
        <v>16</v>
      </c>
      <c r="BP6" s="20">
        <f t="shared" si="1"/>
        <v>17</v>
      </c>
      <c r="BQ6" s="20">
        <f t="shared" si="1"/>
        <v>18</v>
      </c>
      <c r="BR6" s="20">
        <f t="shared" si="1"/>
        <v>19</v>
      </c>
      <c r="BS6" s="20">
        <f t="shared" si="1"/>
        <v>20</v>
      </c>
      <c r="BT6" s="20">
        <f t="shared" si="1"/>
        <v>21</v>
      </c>
      <c r="BU6" s="20">
        <f t="shared" si="1"/>
        <v>22</v>
      </c>
      <c r="BV6" s="20">
        <f t="shared" ref="BV6:DE6" si="2">IF(BV8="",BU6+1,0)</f>
        <v>23</v>
      </c>
      <c r="BW6" s="20">
        <f t="shared" si="2"/>
        <v>24</v>
      </c>
      <c r="BX6" s="20">
        <f t="shared" si="2"/>
        <v>25</v>
      </c>
      <c r="BY6" s="20">
        <f t="shared" si="2"/>
        <v>26</v>
      </c>
      <c r="BZ6" s="20">
        <f t="shared" si="2"/>
        <v>27</v>
      </c>
      <c r="CA6" s="20">
        <f t="shared" si="2"/>
        <v>28</v>
      </c>
      <c r="CB6" s="20">
        <f t="shared" si="2"/>
        <v>29</v>
      </c>
      <c r="CC6" s="20">
        <f t="shared" si="2"/>
        <v>30</v>
      </c>
      <c r="CD6" s="20">
        <f t="shared" si="2"/>
        <v>31</v>
      </c>
      <c r="CE6" s="20">
        <f t="shared" si="2"/>
        <v>32</v>
      </c>
      <c r="CF6" s="20">
        <f t="shared" si="2"/>
        <v>33</v>
      </c>
      <c r="CG6" s="20">
        <f t="shared" si="2"/>
        <v>34</v>
      </c>
      <c r="CH6" s="20">
        <f t="shared" si="2"/>
        <v>35</v>
      </c>
      <c r="CI6" s="20">
        <f t="shared" si="2"/>
        <v>36</v>
      </c>
      <c r="CJ6" s="20">
        <f t="shared" si="2"/>
        <v>37</v>
      </c>
      <c r="CK6" s="20">
        <f t="shared" si="2"/>
        <v>38</v>
      </c>
      <c r="CL6" s="20">
        <f t="shared" si="2"/>
        <v>39</v>
      </c>
      <c r="CM6" s="20">
        <f t="shared" si="2"/>
        <v>40</v>
      </c>
      <c r="CN6" s="20">
        <f t="shared" si="2"/>
        <v>41</v>
      </c>
      <c r="CO6" s="20">
        <f t="shared" si="2"/>
        <v>42</v>
      </c>
      <c r="CP6" s="20">
        <f t="shared" si="2"/>
        <v>43</v>
      </c>
      <c r="CQ6" s="20">
        <f t="shared" si="2"/>
        <v>44</v>
      </c>
      <c r="CR6" s="20">
        <f t="shared" si="2"/>
        <v>45</v>
      </c>
      <c r="CS6" s="20">
        <f t="shared" si="2"/>
        <v>46</v>
      </c>
      <c r="CT6" s="20">
        <f t="shared" si="2"/>
        <v>47</v>
      </c>
      <c r="CU6" s="20">
        <f t="shared" si="2"/>
        <v>48</v>
      </c>
      <c r="CV6" s="20">
        <f t="shared" si="2"/>
        <v>49</v>
      </c>
      <c r="CW6" s="20">
        <f t="shared" si="2"/>
        <v>50</v>
      </c>
      <c r="CX6" s="20">
        <f t="shared" si="2"/>
        <v>51</v>
      </c>
      <c r="CY6" s="20">
        <f t="shared" si="2"/>
        <v>52</v>
      </c>
      <c r="CZ6" s="20">
        <f t="shared" si="2"/>
        <v>53</v>
      </c>
      <c r="DA6" s="20">
        <f t="shared" si="2"/>
        <v>54</v>
      </c>
      <c r="DB6" s="20">
        <f t="shared" si="2"/>
        <v>55</v>
      </c>
      <c r="DC6" s="20">
        <f t="shared" si="2"/>
        <v>56</v>
      </c>
      <c r="DD6" s="20">
        <f t="shared" si="2"/>
        <v>57</v>
      </c>
      <c r="DE6" s="20">
        <f t="shared" si="2"/>
        <v>58</v>
      </c>
    </row>
    <row r="7" spans="1:144" ht="15" thickBot="1" x14ac:dyDescent="0.25">
      <c r="B7" s="51" t="s">
        <v>5</v>
      </c>
      <c r="C7" s="21" t="str">
        <f>IF(C8&lt;&gt;"","",IF(COUNTIF(#REF!,"c")&gt;=32,"OK","NOK"))</f>
        <v/>
      </c>
      <c r="D7" s="21" t="str">
        <f>IF(D8&lt;&gt;"","",IF(COUNTIF(#REF!,"c")&gt;=32,"OK","NOK"))</f>
        <v/>
      </c>
      <c r="E7" s="21" t="str">
        <f>IF(E8&lt;&gt;"","",IF(COUNTIF(#REF!,"c")&gt;=32,"OK","NOK"))</f>
        <v/>
      </c>
      <c r="F7" s="21" t="str">
        <f>IF(F8&lt;&gt;"","",IF(COUNTIF(#REF!,"c")&gt;=32,"OK","NOK"))</f>
        <v/>
      </c>
      <c r="G7" s="21" t="str">
        <f>IF(G8&lt;&gt;"","",IF(COUNTIF(#REF!,"c")&gt;=32,"OK","NOK"))</f>
        <v/>
      </c>
      <c r="H7" s="21" t="str">
        <f>IF(H8&lt;&gt;"","",IF(COUNTIF(#REF!,"c")&gt;=32,"OK","NOK"))</f>
        <v/>
      </c>
      <c r="I7" s="90"/>
      <c r="J7" s="21" t="str">
        <f>IF(J8&lt;&gt;"","",IF(COUNTIF(#REF!,"c")&gt;=32,"OK","NOK"))</f>
        <v/>
      </c>
      <c r="K7" s="21"/>
      <c r="L7" s="21" t="str">
        <f>IF(L8&lt;&gt;"","",IF(COUNTIF(#REF!,"c")&gt;=32,"OK","NOK"))</f>
        <v/>
      </c>
      <c r="M7" s="21" t="str">
        <f>IF(M8&lt;&gt;"","",IF(COUNTIF(#REF!,"c")&gt;=32,"OK","NOK"))</f>
        <v/>
      </c>
      <c r="N7" s="21" t="str">
        <f>IF(N8&lt;&gt;"","",IF(COUNTIF(#REF!,"c")&gt;=32,"OK","NOK"))</f>
        <v/>
      </c>
      <c r="O7" s="21" t="str">
        <f>IF(O8&lt;&gt;"","",IF(COUNTIF(#REF!,"c")&gt;=32,"OK","NOK"))</f>
        <v/>
      </c>
      <c r="P7" s="21" t="str">
        <f>IF(P8&lt;&gt;"","",IF(COUNTIF(#REF!,"c")&gt;=32,"OK","NOK"))</f>
        <v/>
      </c>
      <c r="Q7" s="21" t="str">
        <f>IF(Q8&lt;&gt;"","",IF(COUNTIF(#REF!,"c")&gt;=32,"OK","NOK"))</f>
        <v/>
      </c>
      <c r="R7" s="21"/>
      <c r="S7" s="21" t="str">
        <f>IF(S8&lt;&gt;"","",IF(COUNTIF(#REF!,"c")&gt;=32,"OK","NOK"))</f>
        <v/>
      </c>
      <c r="T7" s="21" t="str">
        <f>IF(T8&lt;&gt;"","",IF(COUNTIF(#REF!,"c")&gt;=32,"OK","NOK"))</f>
        <v/>
      </c>
      <c r="U7" s="85" t="str">
        <f>IF(U8&lt;&gt;"","",IF(COUNTIF(#REF!,"c")&gt;=32,"OK","NOK"))</f>
        <v/>
      </c>
      <c r="V7" s="21" t="e">
        <f>IF(V8&lt;&gt;"","",IF(COUNTIF(#REF!,"c")&gt;=32,"OK","NOK"))</f>
        <v>#REF!</v>
      </c>
      <c r="W7" s="21" t="e">
        <f>IF(W8&lt;&gt;"","",IF(COUNTIF(#REF!,"c")&gt;=32,"OK","NOK"))</f>
        <v>#REF!</v>
      </c>
      <c r="X7" s="21" t="e">
        <f>IF(X8&lt;&gt;"","",IF(COUNTIF(#REF!,"c")&gt;=32,"OK","NOK"))</f>
        <v>#REF!</v>
      </c>
      <c r="Y7" s="21" t="str">
        <f>IF(Y8&lt;&gt;"","",IF(COUNTIF(#REF!,"c")&gt;=32,"OK","NOK"))</f>
        <v/>
      </c>
      <c r="Z7" s="21" t="str">
        <f>IF(Z8&lt;&gt;"","",IF(COUNTIF(#REF!,"c")&gt;=32,"OK","NOK"))</f>
        <v/>
      </c>
      <c r="AA7" s="21" t="e">
        <f>IF(AA8&lt;&gt;"","",IF(COUNTIF(#REF!,"c")&gt;=32,"OK","NOK"))</f>
        <v>#REF!</v>
      </c>
      <c r="AB7" s="21" t="str">
        <f>IF(AB8&lt;&gt;"","",IF(COUNTIF(#REF!,"c")&gt;=32,"OK","NOK"))</f>
        <v/>
      </c>
      <c r="AC7" s="21" t="str">
        <f>IF(AC8&lt;&gt;"","",IF(COUNTIF(#REF!,"c")&gt;=32,"OK","NOK"))</f>
        <v/>
      </c>
      <c r="AD7" s="21" t="e">
        <f>IF(AD8&lt;&gt;"","",IF(COUNTIF(#REF!,"c")&gt;=32,"OK","NOK"))</f>
        <v>#REF!</v>
      </c>
      <c r="AE7" s="21" t="e">
        <f>IF(AE8&lt;&gt;"","",IF(COUNTIF(#REF!,"c")&gt;=32,"OK","NOK"))</f>
        <v>#REF!</v>
      </c>
      <c r="AF7" s="21" t="str">
        <f>IF(AF8&lt;&gt;"","",IF(COUNTIF(#REF!,"c")&gt;=32,"OK","NOK"))</f>
        <v/>
      </c>
      <c r="AG7" s="21" t="e">
        <f>IF(AG8&lt;&gt;"","",IF(COUNTIF(#REF!,"c")&gt;=32,"OK","NOK"))</f>
        <v>#REF!</v>
      </c>
      <c r="AH7" s="21" t="e">
        <f>IF(AH8&lt;&gt;"","",IF(COUNTIF(#REF!,"c")&gt;=32,"OK","NOK"))</f>
        <v>#REF!</v>
      </c>
      <c r="AI7" s="21" t="e">
        <f>IF(AI8&lt;&gt;"","",IF(COUNTIF(#REF!,"c")&gt;=32,"OK","NOK"))</f>
        <v>#REF!</v>
      </c>
      <c r="AJ7" s="21" t="str">
        <f>IF(AJ8&lt;&gt;"","",IF(COUNTIF(#REF!,"c")&gt;=32,"OK","NOK"))</f>
        <v/>
      </c>
      <c r="AK7" s="21"/>
      <c r="AL7" s="21"/>
      <c r="AM7" s="21"/>
      <c r="AN7" s="21"/>
      <c r="AO7" s="21" t="str">
        <f>IF(AO8&lt;&gt;"","",IF(COUNTIF(#REF!,"c")&gt;=32,"OK","NOK"))</f>
        <v/>
      </c>
      <c r="AP7" s="21" t="e">
        <f>IF(AP8&lt;&gt;"","",IF(COUNTIF(#REF!,"c")&gt;=32,"OK","NOK"))</f>
        <v>#REF!</v>
      </c>
      <c r="AQ7" s="21" t="e">
        <f>IF(AQ8&lt;&gt;"","",IF(COUNTIF(#REF!,"c")&gt;=32,"OK","NOK"))</f>
        <v>#REF!</v>
      </c>
      <c r="AR7" s="21" t="str">
        <f>IF(AR8&lt;&gt;"","",IF(COUNTIF(#REF!,"c")&gt;=32,"OK","NOK"))</f>
        <v/>
      </c>
      <c r="AS7" s="21" t="str">
        <f>IF(AS8&lt;&gt;"","",IF(COUNTIF(#REF!,"c")&gt;=32,"OK","NOK"))</f>
        <v/>
      </c>
      <c r="AT7" s="21" t="e">
        <f>IF(AT8&lt;&gt;"","",IF(COUNTIF(#REF!,"c")&gt;=32,"OK","NOK"))</f>
        <v>#REF!</v>
      </c>
      <c r="AU7" s="21" t="e">
        <f>IF(AU8&lt;&gt;"","",IF(COUNTIF(#REF!,"c")&gt;=32,"OK","NOK"))</f>
        <v>#REF!</v>
      </c>
      <c r="AV7" s="21" t="str">
        <f>IF(AV8&lt;&gt;"","",IF(COUNTIF(#REF!,"c")&gt;=32,"OK","NOK"))</f>
        <v/>
      </c>
      <c r="AW7" s="21" t="str">
        <f>IF(AW8&lt;&gt;"","",IF(COUNTIF(#REF!,"c")&gt;=32,"OK","NOK"))</f>
        <v/>
      </c>
      <c r="AX7" s="21" t="str">
        <f>IF(AX8&lt;&gt;"","",IF(COUNTIF(#REF!,"c")&gt;=32,"OK","NOK"))</f>
        <v/>
      </c>
      <c r="AY7" s="21" t="str">
        <f>IF(AY8&lt;&gt;"","",IF(COUNTIF(#REF!,"c")&gt;=32,"OK","NOK"))</f>
        <v/>
      </c>
      <c r="AZ7" s="21" t="str">
        <f>IF(AZ8&lt;&gt;"","",IF(COUNTIF(#REF!,"c")&gt;=32,"OK","NOK"))</f>
        <v/>
      </c>
      <c r="BA7" s="21" t="str">
        <f>IF(BA8&lt;&gt;"","",IF(COUNTIF(#REF!,"c")&gt;=32,"OK","NOK"))</f>
        <v/>
      </c>
      <c r="BB7" s="21" t="str">
        <f>IF(BB8&lt;&gt;"","",IF(COUNTIF(#REF!,"c")&gt;=32,"OK","NOK"))</f>
        <v/>
      </c>
      <c r="BC7" s="21" t="str">
        <f>IF(BC8&lt;&gt;"","",IF(COUNTIF(#REF!,"c")&gt;=32,"OK","NOK"))</f>
        <v/>
      </c>
      <c r="BD7" s="21" t="e">
        <f>IF(BD8&lt;&gt;"","",IF(COUNTIF(#REF!,"c")&gt;=32,"OK","NOK"))</f>
        <v>#REF!</v>
      </c>
      <c r="BE7" s="21" t="e">
        <f>IF(BE8&lt;&gt;"","",IF(COUNTIF(#REF!,"c")&gt;=32,"OK","NOK"))</f>
        <v>#REF!</v>
      </c>
      <c r="BF7" s="21" t="e">
        <f>IF(BF8&lt;&gt;"","",IF(COUNTIF(#REF!,"c")&gt;=32,"OK","NOK"))</f>
        <v>#REF!</v>
      </c>
      <c r="BG7" s="21" t="e">
        <f>IF(BG8&lt;&gt;"","",IF(COUNTIF(#REF!,"c")&gt;=32,"OK","NOK"))</f>
        <v>#REF!</v>
      </c>
      <c r="BH7" s="21" t="e">
        <f>IF(BH8&lt;&gt;"","",IF(COUNTIF(#REF!,"c")&gt;=32,"OK","NOK"))</f>
        <v>#REF!</v>
      </c>
      <c r="BI7" s="21" t="e">
        <f>IF(BI8&lt;&gt;"","",IF(COUNTIF(#REF!,"c")&gt;=32,"OK","NOK"))</f>
        <v>#REF!</v>
      </c>
      <c r="BJ7" s="21" t="e">
        <f>IF(BJ8&lt;&gt;"","",IF(COUNTIF(#REF!,"c")&gt;=32,"OK","NOK"))</f>
        <v>#REF!</v>
      </c>
      <c r="BK7" s="21" t="e">
        <f>IF(BK8&lt;&gt;"","",IF(COUNTIF(#REF!,"c")&gt;=32,"OK","NOK"))</f>
        <v>#REF!</v>
      </c>
      <c r="BL7" s="21" t="e">
        <f>IF(BL8&lt;&gt;"","",IF(COUNTIF(#REF!,"c")&gt;=32,"OK","NOK"))</f>
        <v>#REF!</v>
      </c>
      <c r="BM7" s="21" t="e">
        <f>IF(BM8&lt;&gt;"","",IF(COUNTIF(#REF!,"c")&gt;=32,"OK","NOK"))</f>
        <v>#REF!</v>
      </c>
      <c r="BN7" s="21" t="e">
        <f>IF(BN8&lt;&gt;"","",IF(COUNTIF(#REF!,"c")&gt;=32,"OK","NOK"))</f>
        <v>#REF!</v>
      </c>
      <c r="BO7" s="21" t="e">
        <f>IF(BO8&lt;&gt;"","",IF(COUNTIF(#REF!,"c")&gt;=32,"OK","NOK"))</f>
        <v>#REF!</v>
      </c>
      <c r="BP7" s="21" t="e">
        <f>IF(BP8&lt;&gt;"","",IF(COUNTIF(#REF!,"c")&gt;=32,"OK","NOK"))</f>
        <v>#REF!</v>
      </c>
      <c r="BQ7" s="21" t="e">
        <f>IF(BQ8&lt;&gt;"","",IF(COUNTIF(#REF!,"c")&gt;=32,"OK","NOK"))</f>
        <v>#REF!</v>
      </c>
      <c r="BR7" s="21" t="e">
        <f>IF(BR8&lt;&gt;"","",IF(COUNTIF(#REF!,"c")&gt;=32,"OK","NOK"))</f>
        <v>#REF!</v>
      </c>
      <c r="BS7" s="21" t="e">
        <f>IF(BS8&lt;&gt;"","",IF(COUNTIF(#REF!,"c")&gt;=32,"OK","NOK"))</f>
        <v>#REF!</v>
      </c>
      <c r="BT7" s="21" t="e">
        <f>IF(BT8&lt;&gt;"","",IF(COUNTIF(#REF!,"c")&gt;=32,"OK","NOK"))</f>
        <v>#REF!</v>
      </c>
      <c r="BU7" s="21" t="e">
        <f>IF(BU8&lt;&gt;"","",IF(COUNTIF(#REF!,"c")&gt;=32,"OK","NOK"))</f>
        <v>#REF!</v>
      </c>
      <c r="BV7" s="21" t="e">
        <f>IF(BV8&lt;&gt;"","",IF(COUNTIF(#REF!,"c")&gt;=32,"OK","NOK"))</f>
        <v>#REF!</v>
      </c>
      <c r="BW7" s="21" t="e">
        <f>IF(BW8&lt;&gt;"","",IF(COUNTIF(#REF!,"c")&gt;=32,"OK","NOK"))</f>
        <v>#REF!</v>
      </c>
      <c r="BX7" s="21" t="e">
        <f>IF(BX8&lt;&gt;"","",IF(COUNTIF(#REF!,"c")&gt;=32,"OK","NOK"))</f>
        <v>#REF!</v>
      </c>
      <c r="BY7" s="21" t="e">
        <f>IF(BY8&lt;&gt;"","",IF(COUNTIF(#REF!,"c")&gt;=32,"OK","NOK"))</f>
        <v>#REF!</v>
      </c>
      <c r="BZ7" s="21" t="e">
        <f>IF(BZ8&lt;&gt;"","",IF(COUNTIF(#REF!,"c")&gt;=32,"OK","NOK"))</f>
        <v>#REF!</v>
      </c>
      <c r="CA7" s="21" t="e">
        <f>IF(CA8&lt;&gt;"","",IF(COUNTIF(#REF!,"c")&gt;=32,"OK","NOK"))</f>
        <v>#REF!</v>
      </c>
      <c r="CB7" s="21" t="e">
        <f>IF(CB8&lt;&gt;"","",IF(COUNTIF(#REF!,"c")&gt;=32,"OK","NOK"))</f>
        <v>#REF!</v>
      </c>
      <c r="CC7" s="21" t="e">
        <f>IF(CC8&lt;&gt;"","",IF(COUNTIF(#REF!,"c")&gt;=32,"OK","NOK"))</f>
        <v>#REF!</v>
      </c>
      <c r="CD7" s="21" t="e">
        <f>IF(CD8&lt;&gt;"","",IF(COUNTIF(#REF!,"c")&gt;=32,"OK","NOK"))</f>
        <v>#REF!</v>
      </c>
      <c r="CE7" s="21" t="e">
        <f>IF(CE8&lt;&gt;"","",IF(COUNTIF(#REF!,"c")&gt;=32,"OK","NOK"))</f>
        <v>#REF!</v>
      </c>
      <c r="CF7" s="21" t="e">
        <f>IF(CF8&lt;&gt;"","",IF(COUNTIF(#REF!,"c")&gt;=32,"OK","NOK"))</f>
        <v>#REF!</v>
      </c>
      <c r="CG7" s="21" t="e">
        <f>IF(CG8&lt;&gt;"","",IF(COUNTIF(#REF!,"c")&gt;=32,"OK","NOK"))</f>
        <v>#REF!</v>
      </c>
      <c r="CH7" s="21" t="e">
        <f>IF(CH8&lt;&gt;"","",IF(COUNTIF(#REF!,"c")&gt;=32,"OK","NOK"))</f>
        <v>#REF!</v>
      </c>
      <c r="CI7" s="21" t="e">
        <f>IF(CI8&lt;&gt;"","",IF(COUNTIF(#REF!,"c")&gt;=32,"OK","NOK"))</f>
        <v>#REF!</v>
      </c>
      <c r="CJ7" s="21" t="e">
        <f>IF(CJ8&lt;&gt;"","",IF(COUNTIF(#REF!,"c")&gt;=32,"OK","NOK"))</f>
        <v>#REF!</v>
      </c>
      <c r="CK7" s="21" t="e">
        <f>IF(CK8&lt;&gt;"","",IF(COUNTIF(#REF!,"c")&gt;=32,"OK","NOK"))</f>
        <v>#REF!</v>
      </c>
      <c r="CL7" s="21" t="e">
        <f>IF(CL8&lt;&gt;"","",IF(COUNTIF(#REF!,"c")&gt;=32,"OK","NOK"))</f>
        <v>#REF!</v>
      </c>
      <c r="CM7" s="21" t="e">
        <f>IF(CM8&lt;&gt;"","",IF(COUNTIF(#REF!,"c")&gt;=32,"OK","NOK"))</f>
        <v>#REF!</v>
      </c>
      <c r="CN7" s="21" t="e">
        <f>IF(CN8&lt;&gt;"","",IF(COUNTIF(#REF!,"c")&gt;=32,"OK","NOK"))</f>
        <v>#REF!</v>
      </c>
      <c r="CO7" s="21" t="e">
        <f>IF(CO8&lt;&gt;"","",IF(COUNTIF(#REF!,"c")&gt;=32,"OK","NOK"))</f>
        <v>#REF!</v>
      </c>
      <c r="CP7" s="21" t="e">
        <f>IF(CP8&lt;&gt;"","",IF(COUNTIF(#REF!,"c")&gt;=32,"OK","NOK"))</f>
        <v>#REF!</v>
      </c>
      <c r="CQ7" s="21" t="e">
        <f>IF(CQ8&lt;&gt;"","",IF(COUNTIF(#REF!,"c")&gt;=32,"OK","NOK"))</f>
        <v>#REF!</v>
      </c>
      <c r="CR7" s="21" t="e">
        <f>IF(CR8&lt;&gt;"","",IF(COUNTIF(#REF!,"c")&gt;=32,"OK","NOK"))</f>
        <v>#REF!</v>
      </c>
      <c r="CS7" s="21" t="e">
        <f>IF(CS8&lt;&gt;"","",IF(COUNTIF(#REF!,"c")&gt;=32,"OK","NOK"))</f>
        <v>#REF!</v>
      </c>
      <c r="CT7" s="21" t="e">
        <f>IF(CT8&lt;&gt;"","",IF(COUNTIF(#REF!,"c")&gt;=32,"OK","NOK"))</f>
        <v>#REF!</v>
      </c>
      <c r="CU7" s="21" t="e">
        <f>IF(CU8&lt;&gt;"","",IF(COUNTIF(#REF!,"c")&gt;=32,"OK","NOK"))</f>
        <v>#REF!</v>
      </c>
      <c r="CV7" s="21" t="e">
        <f>IF(CV8&lt;&gt;"","",IF(COUNTIF(#REF!,"c")&gt;=32,"OK","NOK"))</f>
        <v>#REF!</v>
      </c>
      <c r="CW7" s="21" t="e">
        <f>IF(CW8&lt;&gt;"","",IF(COUNTIF(#REF!,"c")&gt;=32,"OK","NOK"))</f>
        <v>#REF!</v>
      </c>
      <c r="CX7" s="21" t="e">
        <f>IF(CX8&lt;&gt;"","",IF(COUNTIF(#REF!,"c")&gt;=32,"OK","NOK"))</f>
        <v>#REF!</v>
      </c>
      <c r="CY7" s="21" t="e">
        <f>IF(CY8&lt;&gt;"","",IF(COUNTIF(#REF!,"c")&gt;=32,"OK","NOK"))</f>
        <v>#REF!</v>
      </c>
      <c r="CZ7" s="21" t="e">
        <f>IF(CZ8&lt;&gt;"","",IF(COUNTIF(#REF!,"c")&gt;=32,"OK","NOK"))</f>
        <v>#REF!</v>
      </c>
      <c r="DA7" s="21" t="e">
        <f>IF(DA8&lt;&gt;"","",IF(COUNTIF(#REF!,"c")&gt;=32,"OK","NOK"))</f>
        <v>#REF!</v>
      </c>
      <c r="DB7" s="21" t="e">
        <f>IF(DB8&lt;&gt;"","",IF(COUNTIF(#REF!,"c")&gt;=32,"OK","NOK"))</f>
        <v>#REF!</v>
      </c>
      <c r="DC7" s="21" t="e">
        <f>IF(DC8&lt;&gt;"","",IF(COUNTIF(#REF!,"c")&gt;=32,"OK","NOK"))</f>
        <v>#REF!</v>
      </c>
      <c r="DD7" s="21" t="e">
        <f>IF(DD8&lt;&gt;"","",IF(COUNTIF(#REF!,"c")&gt;=32,"OK","NOK"))</f>
        <v>#REF!</v>
      </c>
      <c r="DE7" s="21" t="e">
        <f>IF(DE8&lt;&gt;"","",IF(COUNTIF(#REF!,"c")&gt;=32,"OK","NOK"))</f>
        <v>#REF!</v>
      </c>
    </row>
    <row r="8" spans="1:144" s="131" customFormat="1" ht="20.100000000000001" customHeight="1" thickBot="1" x14ac:dyDescent="0.3">
      <c r="A8" s="131" t="s">
        <v>6</v>
      </c>
      <c r="B8" s="132" t="s">
        <v>7</v>
      </c>
      <c r="C8" s="135" t="s">
        <v>8</v>
      </c>
      <c r="D8" s="135" t="s">
        <v>8</v>
      </c>
      <c r="E8" s="135" t="s">
        <v>8</v>
      </c>
      <c r="F8" s="135" t="s">
        <v>8</v>
      </c>
      <c r="G8" s="135" t="s">
        <v>8</v>
      </c>
      <c r="H8" s="126" t="s">
        <v>8</v>
      </c>
      <c r="I8" s="133" t="s">
        <v>8</v>
      </c>
      <c r="J8" s="126" t="s">
        <v>8</v>
      </c>
      <c r="K8" s="126" t="s">
        <v>8</v>
      </c>
      <c r="L8" s="126" t="s">
        <v>8</v>
      </c>
      <c r="M8" s="135" t="s">
        <v>8</v>
      </c>
      <c r="N8" s="146" t="s">
        <v>9</v>
      </c>
      <c r="O8" s="146" t="s">
        <v>9</v>
      </c>
      <c r="P8" s="22" t="s">
        <v>9</v>
      </c>
      <c r="Q8" s="22" t="s">
        <v>8</v>
      </c>
      <c r="R8" s="22" t="s">
        <v>9</v>
      </c>
      <c r="S8" s="22" t="s">
        <v>9</v>
      </c>
      <c r="T8" s="22" t="s">
        <v>9</v>
      </c>
      <c r="U8" s="86" t="s">
        <v>9</v>
      </c>
      <c r="V8" s="22"/>
      <c r="W8" s="22"/>
      <c r="X8" s="22"/>
      <c r="Y8" s="22" t="s">
        <v>9</v>
      </c>
      <c r="Z8" s="22" t="s">
        <v>9</v>
      </c>
      <c r="AA8" s="22"/>
      <c r="AB8" s="22" t="s">
        <v>9</v>
      </c>
      <c r="AC8" s="22" t="s">
        <v>9</v>
      </c>
      <c r="AD8" s="22"/>
      <c r="AE8" s="22"/>
      <c r="AF8" s="22" t="s">
        <v>9</v>
      </c>
      <c r="AG8" s="22"/>
      <c r="AH8" s="22"/>
      <c r="AI8" s="22"/>
      <c r="AJ8" s="22" t="s">
        <v>9</v>
      </c>
      <c r="AK8" s="22" t="s">
        <v>8</v>
      </c>
      <c r="AL8" s="22" t="s">
        <v>8</v>
      </c>
      <c r="AM8" s="22" t="s">
        <v>8</v>
      </c>
      <c r="AN8" s="22" t="s">
        <v>8</v>
      </c>
      <c r="AO8" s="22" t="s">
        <v>9</v>
      </c>
      <c r="AP8" s="22"/>
      <c r="AQ8" s="22"/>
      <c r="AR8" s="22" t="s">
        <v>9</v>
      </c>
      <c r="AS8" s="22" t="s">
        <v>9</v>
      </c>
      <c r="AT8" s="22"/>
      <c r="AU8" s="22"/>
      <c r="AV8" s="22" t="s">
        <v>9</v>
      </c>
      <c r="AW8" s="22" t="s">
        <v>9</v>
      </c>
      <c r="AX8" s="22" t="s">
        <v>9</v>
      </c>
      <c r="AY8" s="22" t="s">
        <v>9</v>
      </c>
      <c r="AZ8" s="22" t="s">
        <v>9</v>
      </c>
      <c r="BA8" s="22" t="s">
        <v>9</v>
      </c>
      <c r="BB8" s="22" t="s">
        <v>9</v>
      </c>
      <c r="BC8" s="22" t="s">
        <v>9</v>
      </c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</row>
    <row r="9" spans="1:144" s="23" customFormat="1" ht="33" customHeight="1" x14ac:dyDescent="0.2">
      <c r="B9" s="83" t="s">
        <v>51</v>
      </c>
      <c r="C9" s="136">
        <v>42469</v>
      </c>
      <c r="D9" s="136">
        <v>42477</v>
      </c>
      <c r="E9" s="136">
        <v>42470</v>
      </c>
      <c r="F9" s="136">
        <v>42468</v>
      </c>
      <c r="G9" s="136">
        <v>42462</v>
      </c>
      <c r="H9" s="136">
        <v>42493</v>
      </c>
      <c r="I9" s="137">
        <v>42493</v>
      </c>
      <c r="J9" s="136">
        <v>42491</v>
      </c>
      <c r="K9" s="137">
        <v>42471</v>
      </c>
      <c r="L9" s="136">
        <v>42499</v>
      </c>
      <c r="M9" s="136">
        <v>42499</v>
      </c>
      <c r="N9" s="148">
        <v>42506</v>
      </c>
      <c r="O9" s="148">
        <v>42479</v>
      </c>
      <c r="P9" s="53">
        <v>42477</v>
      </c>
      <c r="Q9" s="136">
        <v>42443</v>
      </c>
      <c r="R9" s="52">
        <v>42454</v>
      </c>
      <c r="S9" s="53">
        <v>42489</v>
      </c>
      <c r="T9" s="53">
        <v>42478</v>
      </c>
      <c r="U9" s="53">
        <v>42489</v>
      </c>
      <c r="V9" s="53">
        <v>42479</v>
      </c>
      <c r="W9" s="53">
        <v>42501</v>
      </c>
      <c r="X9" s="53">
        <v>42500</v>
      </c>
      <c r="Y9" s="52">
        <v>42493</v>
      </c>
      <c r="Z9" s="53">
        <v>42489</v>
      </c>
      <c r="AA9" s="53">
        <v>42716</v>
      </c>
      <c r="AB9" s="53">
        <v>42464</v>
      </c>
      <c r="AC9" s="53">
        <v>42497</v>
      </c>
      <c r="AD9" s="53"/>
      <c r="AE9" s="53">
        <v>42493</v>
      </c>
      <c r="AF9" s="102">
        <v>42470</v>
      </c>
      <c r="AG9" s="53">
        <v>42484</v>
      </c>
      <c r="AH9" s="53">
        <v>42505</v>
      </c>
      <c r="AI9" s="53"/>
      <c r="AJ9" s="53">
        <v>42478</v>
      </c>
      <c r="AK9" s="52" t="s">
        <v>11</v>
      </c>
      <c r="AL9" s="52" t="s">
        <v>11</v>
      </c>
      <c r="AM9" s="52" t="s">
        <v>11</v>
      </c>
      <c r="AN9" s="52" t="s">
        <v>11</v>
      </c>
      <c r="AO9" s="53">
        <v>42484</v>
      </c>
      <c r="AP9" s="53">
        <v>42504</v>
      </c>
      <c r="AQ9" s="53"/>
      <c r="AR9" s="53">
        <v>42472</v>
      </c>
      <c r="AS9" s="53">
        <v>42492</v>
      </c>
      <c r="AT9" s="53" t="s">
        <v>116</v>
      </c>
      <c r="AU9" s="53"/>
      <c r="AV9" s="61">
        <v>42493</v>
      </c>
      <c r="AW9" s="61">
        <v>42493</v>
      </c>
      <c r="AX9" s="61">
        <v>42493</v>
      </c>
      <c r="AY9" s="61"/>
      <c r="AZ9" s="61">
        <v>42447</v>
      </c>
      <c r="BA9" s="61">
        <v>42483</v>
      </c>
      <c r="BB9" s="61">
        <v>42465</v>
      </c>
      <c r="BC9" s="61">
        <v>42490</v>
      </c>
      <c r="BD9" s="61">
        <v>42510</v>
      </c>
      <c r="BE9" s="61">
        <v>42505</v>
      </c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53"/>
      <c r="CC9" s="53"/>
      <c r="CD9" s="53"/>
      <c r="CE9" s="53"/>
      <c r="CF9" s="53"/>
      <c r="CG9" s="53"/>
      <c r="CH9" s="53"/>
      <c r="CI9" s="53"/>
      <c r="CJ9" s="53"/>
      <c r="CK9" s="53"/>
      <c r="CL9" s="53"/>
      <c r="CM9" s="53"/>
      <c r="CN9" s="53"/>
      <c r="CO9" s="53"/>
      <c r="CP9" s="53"/>
      <c r="CQ9" s="53"/>
      <c r="CR9" s="53"/>
      <c r="CS9" s="53"/>
      <c r="CT9" s="53"/>
      <c r="CU9" s="53"/>
      <c r="CV9" s="53"/>
      <c r="CW9" s="53"/>
      <c r="CX9" s="53"/>
      <c r="CY9" s="53"/>
      <c r="CZ9" s="53"/>
      <c r="DA9" s="53"/>
      <c r="DB9" s="53"/>
      <c r="DC9" s="53"/>
      <c r="DD9" s="53"/>
      <c r="DE9" s="53"/>
    </row>
    <row r="10" spans="1:144" ht="29.25" customHeight="1" x14ac:dyDescent="0.2">
      <c r="B10" s="84" t="s">
        <v>49</v>
      </c>
      <c r="C10" s="137">
        <v>42446</v>
      </c>
      <c r="D10" s="137">
        <v>42451</v>
      </c>
      <c r="E10" s="137">
        <v>42450</v>
      </c>
      <c r="F10" s="137">
        <v>42443</v>
      </c>
      <c r="G10" s="137">
        <v>42437</v>
      </c>
      <c r="H10" s="137">
        <v>42469</v>
      </c>
      <c r="I10" s="137">
        <v>42469</v>
      </c>
      <c r="J10" s="137">
        <v>42471</v>
      </c>
      <c r="K10" s="137">
        <v>42446</v>
      </c>
      <c r="L10" s="137">
        <v>42475</v>
      </c>
      <c r="M10" s="137">
        <v>42475</v>
      </c>
      <c r="N10" s="149">
        <v>42487</v>
      </c>
      <c r="O10" s="149">
        <v>42457</v>
      </c>
      <c r="P10" s="52">
        <v>42453</v>
      </c>
      <c r="Q10" s="137">
        <v>42419</v>
      </c>
      <c r="R10" s="52">
        <v>42429</v>
      </c>
      <c r="S10" s="52">
        <v>42471</v>
      </c>
      <c r="T10" s="52">
        <v>42453</v>
      </c>
      <c r="U10" s="52">
        <v>42469</v>
      </c>
      <c r="V10" s="52">
        <v>42475</v>
      </c>
      <c r="W10" s="52">
        <v>42479</v>
      </c>
      <c r="X10" s="52">
        <v>42478</v>
      </c>
      <c r="Y10" s="52">
        <v>42424</v>
      </c>
      <c r="Z10" s="52">
        <v>42471</v>
      </c>
      <c r="AA10" s="52">
        <v>42695</v>
      </c>
      <c r="AB10" s="52">
        <v>42443</v>
      </c>
      <c r="AC10" s="52">
        <v>42473</v>
      </c>
      <c r="AD10" s="52" t="s">
        <v>11</v>
      </c>
      <c r="AE10" s="52">
        <v>42678</v>
      </c>
      <c r="AF10" s="103">
        <v>42446</v>
      </c>
      <c r="AG10" s="52">
        <v>42460</v>
      </c>
      <c r="AH10" s="52">
        <v>42481</v>
      </c>
      <c r="AI10" s="52" t="s">
        <v>11</v>
      </c>
      <c r="AJ10" s="52">
        <v>42450</v>
      </c>
      <c r="AK10" s="52" t="s">
        <v>11</v>
      </c>
      <c r="AL10" s="52" t="s">
        <v>11</v>
      </c>
      <c r="AM10" s="52" t="s">
        <v>11</v>
      </c>
      <c r="AN10" s="52" t="s">
        <v>11</v>
      </c>
      <c r="AO10" s="52">
        <v>42460</v>
      </c>
      <c r="AP10" s="52">
        <v>42479</v>
      </c>
      <c r="AQ10" s="52" t="s">
        <v>11</v>
      </c>
      <c r="AR10" s="103">
        <v>42448</v>
      </c>
      <c r="AS10" s="52">
        <v>42471</v>
      </c>
      <c r="AT10" s="52">
        <v>42479</v>
      </c>
      <c r="AU10" s="52" t="s">
        <v>11</v>
      </c>
      <c r="AV10" s="62">
        <v>42469</v>
      </c>
      <c r="AW10" s="62">
        <v>42471</v>
      </c>
      <c r="AX10" s="62">
        <v>42471</v>
      </c>
      <c r="AY10" s="62">
        <v>42450</v>
      </c>
      <c r="AZ10" s="62">
        <v>42422</v>
      </c>
      <c r="BA10" s="62">
        <v>42459</v>
      </c>
      <c r="BB10" s="62">
        <v>42441</v>
      </c>
      <c r="BC10" s="62">
        <v>42471</v>
      </c>
      <c r="BD10" s="62">
        <v>42485</v>
      </c>
      <c r="BE10" s="62">
        <v>42481</v>
      </c>
      <c r="BF10" s="52" t="s">
        <v>11</v>
      </c>
      <c r="BG10" s="52" t="s">
        <v>11</v>
      </c>
      <c r="BH10" s="52" t="s">
        <v>11</v>
      </c>
      <c r="BI10" s="52" t="s">
        <v>11</v>
      </c>
      <c r="BJ10" s="52" t="s">
        <v>11</v>
      </c>
      <c r="BK10" s="52" t="s">
        <v>11</v>
      </c>
      <c r="BL10" s="52" t="s">
        <v>11</v>
      </c>
      <c r="BM10" s="52" t="s">
        <v>11</v>
      </c>
      <c r="BN10" s="52" t="s">
        <v>11</v>
      </c>
      <c r="BO10" s="52" t="s">
        <v>11</v>
      </c>
      <c r="BP10" s="52" t="s">
        <v>11</v>
      </c>
      <c r="BQ10" s="52" t="s">
        <v>11</v>
      </c>
      <c r="BR10" s="52" t="s">
        <v>11</v>
      </c>
      <c r="BS10" s="52" t="s">
        <v>11</v>
      </c>
      <c r="BT10" s="52" t="s">
        <v>11</v>
      </c>
      <c r="BU10" s="52" t="s">
        <v>11</v>
      </c>
      <c r="BV10" s="52" t="s">
        <v>11</v>
      </c>
      <c r="BW10" s="52" t="s">
        <v>11</v>
      </c>
      <c r="BX10" s="52" t="s">
        <v>11</v>
      </c>
      <c r="BY10" s="52" t="s">
        <v>11</v>
      </c>
      <c r="BZ10" s="52" t="s">
        <v>11</v>
      </c>
      <c r="CA10" s="52" t="s">
        <v>11</v>
      </c>
      <c r="CB10" s="52" t="s">
        <v>11</v>
      </c>
      <c r="CC10" s="52" t="s">
        <v>11</v>
      </c>
      <c r="CD10" s="52" t="s">
        <v>11</v>
      </c>
      <c r="CE10" s="52" t="s">
        <v>11</v>
      </c>
      <c r="CF10" s="52" t="s">
        <v>11</v>
      </c>
      <c r="CG10" s="52" t="s">
        <v>11</v>
      </c>
      <c r="CH10" s="52" t="s">
        <v>11</v>
      </c>
      <c r="CI10" s="52" t="s">
        <v>11</v>
      </c>
      <c r="CJ10" s="52" t="s">
        <v>11</v>
      </c>
      <c r="CK10" s="52" t="s">
        <v>11</v>
      </c>
      <c r="CL10" s="52" t="s">
        <v>11</v>
      </c>
      <c r="CM10" s="52" t="s">
        <v>11</v>
      </c>
      <c r="CN10" s="52" t="s">
        <v>11</v>
      </c>
      <c r="CO10" s="52" t="s">
        <v>11</v>
      </c>
      <c r="CP10" s="52" t="s">
        <v>11</v>
      </c>
      <c r="CQ10" s="52" t="s">
        <v>11</v>
      </c>
      <c r="CR10" s="52" t="s">
        <v>11</v>
      </c>
      <c r="CS10" s="52" t="s">
        <v>11</v>
      </c>
      <c r="CT10" s="52" t="s">
        <v>11</v>
      </c>
      <c r="CU10" s="52" t="s">
        <v>11</v>
      </c>
      <c r="CV10" s="52" t="s">
        <v>11</v>
      </c>
      <c r="CW10" s="52" t="s">
        <v>11</v>
      </c>
      <c r="CX10" s="52" t="s">
        <v>11</v>
      </c>
      <c r="CY10" s="52" t="s">
        <v>11</v>
      </c>
      <c r="CZ10" s="52" t="s">
        <v>11</v>
      </c>
      <c r="DA10" s="52" t="s">
        <v>11</v>
      </c>
      <c r="DB10" s="52" t="s">
        <v>11</v>
      </c>
      <c r="DC10" s="52" t="s">
        <v>11</v>
      </c>
      <c r="DD10" s="52" t="s">
        <v>11</v>
      </c>
      <c r="DE10" s="52" t="s">
        <v>11</v>
      </c>
    </row>
    <row r="11" spans="1:144" ht="57.75" customHeight="1" x14ac:dyDescent="0.2">
      <c r="B11" s="84" t="s">
        <v>52</v>
      </c>
      <c r="C11" s="134">
        <v>305</v>
      </c>
      <c r="D11" s="134" t="s">
        <v>59</v>
      </c>
      <c r="E11" s="134">
        <v>545</v>
      </c>
      <c r="F11" s="134">
        <v>545</v>
      </c>
      <c r="G11" s="134">
        <v>545</v>
      </c>
      <c r="H11" s="134" t="s">
        <v>11</v>
      </c>
      <c r="I11" s="134">
        <v>306</v>
      </c>
      <c r="J11" s="134">
        <v>545</v>
      </c>
      <c r="K11" s="134">
        <v>306</v>
      </c>
      <c r="L11" s="134" t="s">
        <v>11</v>
      </c>
      <c r="M11" s="134" t="s">
        <v>11</v>
      </c>
      <c r="N11" s="147" t="s">
        <v>11</v>
      </c>
      <c r="O11" s="147">
        <v>545</v>
      </c>
      <c r="P11" s="24">
        <v>615</v>
      </c>
      <c r="Q11" s="134" t="s">
        <v>59</v>
      </c>
      <c r="R11" s="24">
        <v>306</v>
      </c>
      <c r="S11" s="24">
        <v>535</v>
      </c>
      <c r="T11" s="24">
        <v>969</v>
      </c>
      <c r="U11" s="24">
        <v>306</v>
      </c>
      <c r="V11" s="24" t="s">
        <v>11</v>
      </c>
      <c r="W11" s="24" t="s">
        <v>11</v>
      </c>
      <c r="X11" s="95"/>
      <c r="Y11" s="93">
        <v>545</v>
      </c>
      <c r="Z11" s="24">
        <v>535</v>
      </c>
      <c r="AA11" s="24">
        <v>305</v>
      </c>
      <c r="AB11" s="24">
        <v>545</v>
      </c>
      <c r="AC11" s="24">
        <v>535</v>
      </c>
      <c r="AD11" s="24" t="s">
        <v>11</v>
      </c>
      <c r="AE11" s="95"/>
      <c r="AF11" s="104">
        <v>305</v>
      </c>
      <c r="AG11" s="24" t="s">
        <v>75</v>
      </c>
      <c r="AH11" s="24"/>
      <c r="AI11" s="24" t="s">
        <v>11</v>
      </c>
      <c r="AJ11" s="24">
        <v>615</v>
      </c>
      <c r="AK11" s="24" t="s">
        <v>11</v>
      </c>
      <c r="AL11" s="24" t="s">
        <v>11</v>
      </c>
      <c r="AM11" s="24" t="s">
        <v>11</v>
      </c>
      <c r="AN11" s="24" t="s">
        <v>11</v>
      </c>
      <c r="AO11" s="24">
        <v>305</v>
      </c>
      <c r="AP11" s="24" t="s">
        <v>11</v>
      </c>
      <c r="AQ11" s="24" t="s">
        <v>11</v>
      </c>
      <c r="AR11" s="104">
        <v>305</v>
      </c>
      <c r="AS11" s="24" t="s">
        <v>59</v>
      </c>
      <c r="AT11" s="24" t="s">
        <v>11</v>
      </c>
      <c r="AU11" s="24" t="s">
        <v>11</v>
      </c>
      <c r="AV11" s="55">
        <v>306</v>
      </c>
      <c r="AW11" s="55">
        <v>545</v>
      </c>
      <c r="AX11" s="67">
        <v>545</v>
      </c>
      <c r="AY11" s="55">
        <v>545</v>
      </c>
      <c r="AZ11" s="55">
        <v>545</v>
      </c>
      <c r="BA11" s="55">
        <v>545</v>
      </c>
      <c r="BB11" s="55" t="s">
        <v>59</v>
      </c>
      <c r="BC11" s="55">
        <v>615</v>
      </c>
      <c r="BD11" s="55" t="s">
        <v>11</v>
      </c>
      <c r="BE11" s="55" t="s">
        <v>11</v>
      </c>
      <c r="BF11" s="24" t="s">
        <v>11</v>
      </c>
      <c r="BG11" s="24" t="s">
        <v>11</v>
      </c>
      <c r="BH11" s="24" t="s">
        <v>11</v>
      </c>
      <c r="BI11" s="24" t="s">
        <v>11</v>
      </c>
      <c r="BJ11" s="24" t="s">
        <v>11</v>
      </c>
      <c r="BK11" s="24" t="s">
        <v>11</v>
      </c>
      <c r="BL11" s="24" t="s">
        <v>11</v>
      </c>
      <c r="BM11" s="24" t="s">
        <v>11</v>
      </c>
      <c r="BN11" s="24" t="s">
        <v>11</v>
      </c>
      <c r="BO11" s="24" t="s">
        <v>11</v>
      </c>
      <c r="BP11" s="24" t="s">
        <v>11</v>
      </c>
      <c r="BQ11" s="24" t="s">
        <v>11</v>
      </c>
      <c r="BR11" s="24" t="s">
        <v>11</v>
      </c>
      <c r="BS11" s="24" t="s">
        <v>11</v>
      </c>
      <c r="BT11" s="24" t="s">
        <v>11</v>
      </c>
      <c r="BU11" s="24" t="s">
        <v>11</v>
      </c>
      <c r="BV11" s="24" t="s">
        <v>11</v>
      </c>
      <c r="BW11" s="24" t="s">
        <v>11</v>
      </c>
      <c r="BX11" s="24" t="s">
        <v>11</v>
      </c>
      <c r="BY11" s="24" t="s">
        <v>11</v>
      </c>
      <c r="BZ11" s="24" t="s">
        <v>11</v>
      </c>
      <c r="CA11" s="24" t="s">
        <v>11</v>
      </c>
      <c r="CB11" s="24" t="s">
        <v>11</v>
      </c>
      <c r="CC11" s="24" t="s">
        <v>11</v>
      </c>
      <c r="CD11" s="24" t="s">
        <v>11</v>
      </c>
      <c r="CE11" s="24" t="s">
        <v>11</v>
      </c>
      <c r="CF11" s="24" t="s">
        <v>11</v>
      </c>
      <c r="CG11" s="24" t="s">
        <v>11</v>
      </c>
      <c r="CH11" s="24" t="s">
        <v>11</v>
      </c>
      <c r="CI11" s="24" t="s">
        <v>11</v>
      </c>
      <c r="CJ11" s="24" t="s">
        <v>11</v>
      </c>
      <c r="CK11" s="24" t="s">
        <v>11</v>
      </c>
      <c r="CL11" s="24" t="s">
        <v>11</v>
      </c>
      <c r="CM11" s="24" t="s">
        <v>11</v>
      </c>
      <c r="CN11" s="24" t="s">
        <v>11</v>
      </c>
      <c r="CO11" s="24" t="s">
        <v>11</v>
      </c>
      <c r="CP11" s="24" t="s">
        <v>11</v>
      </c>
      <c r="CQ11" s="24" t="s">
        <v>11</v>
      </c>
      <c r="CR11" s="24" t="s">
        <v>11</v>
      </c>
      <c r="CS11" s="24" t="s">
        <v>11</v>
      </c>
      <c r="CT11" s="24" t="s">
        <v>11</v>
      </c>
      <c r="CU11" s="24" t="s">
        <v>11</v>
      </c>
      <c r="CV11" s="24" t="s">
        <v>11</v>
      </c>
      <c r="CW11" s="24" t="s">
        <v>11</v>
      </c>
      <c r="CX11" s="24" t="s">
        <v>11</v>
      </c>
      <c r="CY11" s="24" t="s">
        <v>11</v>
      </c>
      <c r="CZ11" s="24" t="s">
        <v>11</v>
      </c>
      <c r="DA11" s="24" t="s">
        <v>11</v>
      </c>
      <c r="DB11" s="24" t="s">
        <v>11</v>
      </c>
      <c r="DC11" s="24" t="s">
        <v>11</v>
      </c>
      <c r="DD11" s="24" t="s">
        <v>11</v>
      </c>
      <c r="DE11" s="24" t="s">
        <v>11</v>
      </c>
    </row>
    <row r="12" spans="1:144" s="25" customFormat="1" ht="69.75" customHeight="1" x14ac:dyDescent="0.2">
      <c r="B12" s="84" t="s">
        <v>12</v>
      </c>
      <c r="C12" s="134" t="s">
        <v>55</v>
      </c>
      <c r="D12" s="134" t="s">
        <v>58</v>
      </c>
      <c r="E12" s="134" t="s">
        <v>57</v>
      </c>
      <c r="F12" s="134" t="s">
        <v>56</v>
      </c>
      <c r="G12" s="134" t="s">
        <v>56</v>
      </c>
      <c r="H12" s="96" t="s">
        <v>53</v>
      </c>
      <c r="I12" s="71" t="s">
        <v>53</v>
      </c>
      <c r="J12" s="74" t="s">
        <v>63</v>
      </c>
      <c r="K12" s="71" t="s">
        <v>53</v>
      </c>
      <c r="L12" s="68" t="s">
        <v>61</v>
      </c>
      <c r="M12" s="68" t="s">
        <v>77</v>
      </c>
      <c r="N12" s="24" t="s">
        <v>61</v>
      </c>
      <c r="O12" s="76" t="s">
        <v>57</v>
      </c>
      <c r="P12" s="68" t="s">
        <v>61</v>
      </c>
      <c r="Q12" s="78" t="s">
        <v>58</v>
      </c>
      <c r="R12" s="71" t="s">
        <v>53</v>
      </c>
      <c r="S12" s="82" t="s">
        <v>64</v>
      </c>
      <c r="T12" s="72" t="s">
        <v>56</v>
      </c>
      <c r="U12" s="71" t="s">
        <v>53</v>
      </c>
      <c r="V12" s="24" t="s">
        <v>113</v>
      </c>
      <c r="W12" s="24" t="s">
        <v>114</v>
      </c>
      <c r="X12" s="97" t="s">
        <v>64</v>
      </c>
      <c r="Y12" s="72" t="s">
        <v>56</v>
      </c>
      <c r="Z12" s="82" t="s">
        <v>64</v>
      </c>
      <c r="AA12" s="24" t="s">
        <v>73</v>
      </c>
      <c r="AB12" s="72" t="s">
        <v>56</v>
      </c>
      <c r="AC12" s="82" t="s">
        <v>64</v>
      </c>
      <c r="AD12" s="24"/>
      <c r="AE12" s="72" t="s">
        <v>56</v>
      </c>
      <c r="AF12" s="104" t="s">
        <v>55</v>
      </c>
      <c r="AG12" s="24" t="s">
        <v>74</v>
      </c>
      <c r="AH12" s="24" t="s">
        <v>58</v>
      </c>
      <c r="AI12" s="24"/>
      <c r="AJ12" s="68" t="s">
        <v>61</v>
      </c>
      <c r="AK12" s="72" t="s">
        <v>11</v>
      </c>
      <c r="AL12" s="72" t="s">
        <v>11</v>
      </c>
      <c r="AM12" s="72" t="s">
        <v>11</v>
      </c>
      <c r="AN12" s="72" t="s">
        <v>11</v>
      </c>
      <c r="AO12" s="80" t="s">
        <v>55</v>
      </c>
      <c r="AP12" s="72" t="s">
        <v>56</v>
      </c>
      <c r="AQ12" s="24"/>
      <c r="AR12" s="104" t="s">
        <v>55</v>
      </c>
      <c r="AS12" s="78" t="s">
        <v>58</v>
      </c>
      <c r="AT12" s="78" t="s">
        <v>58</v>
      </c>
      <c r="AU12" s="24"/>
      <c r="AV12" s="71" t="s">
        <v>53</v>
      </c>
      <c r="AW12" s="72" t="s">
        <v>56</v>
      </c>
      <c r="AX12" s="72" t="s">
        <v>56</v>
      </c>
      <c r="AY12" s="74" t="s">
        <v>63</v>
      </c>
      <c r="AZ12" s="76" t="s">
        <v>57</v>
      </c>
      <c r="BA12" s="76" t="s">
        <v>57</v>
      </c>
      <c r="BB12" s="78" t="s">
        <v>58</v>
      </c>
      <c r="BC12" s="68" t="s">
        <v>61</v>
      </c>
      <c r="BD12" s="24" t="s">
        <v>63</v>
      </c>
      <c r="BE12" s="24" t="s">
        <v>64</v>
      </c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</row>
    <row r="13" spans="1:144" s="25" customFormat="1" ht="70.5" customHeight="1" x14ac:dyDescent="0.2">
      <c r="B13" s="84" t="s">
        <v>10</v>
      </c>
      <c r="C13" s="134">
        <v>15668844</v>
      </c>
      <c r="D13" s="134">
        <v>15670868</v>
      </c>
      <c r="E13" s="134">
        <v>15669181</v>
      </c>
      <c r="F13" s="134">
        <v>15668319</v>
      </c>
      <c r="G13" s="134">
        <v>15665749</v>
      </c>
      <c r="H13" s="134">
        <v>15676861</v>
      </c>
      <c r="I13" s="134">
        <v>15676862</v>
      </c>
      <c r="J13" s="134">
        <v>15676026</v>
      </c>
      <c r="K13" s="134">
        <v>15669399</v>
      </c>
      <c r="L13" s="134">
        <v>15678696</v>
      </c>
      <c r="M13" s="134">
        <v>15678698</v>
      </c>
      <c r="N13" s="147">
        <v>15681466</v>
      </c>
      <c r="O13" s="147">
        <v>15672403</v>
      </c>
      <c r="P13" s="92">
        <v>15671589</v>
      </c>
      <c r="Q13" s="134">
        <v>15659240</v>
      </c>
      <c r="R13" s="92">
        <v>15662912</v>
      </c>
      <c r="S13" s="92">
        <v>15675229</v>
      </c>
      <c r="T13" s="92">
        <v>15672172</v>
      </c>
      <c r="U13" s="92">
        <v>15675228</v>
      </c>
      <c r="V13" s="24">
        <v>15679879</v>
      </c>
      <c r="W13" s="24">
        <v>15668845</v>
      </c>
      <c r="X13" s="24">
        <v>15679306</v>
      </c>
      <c r="Y13" s="92">
        <v>15676794</v>
      </c>
      <c r="Z13" s="92">
        <v>15675223</v>
      </c>
      <c r="AA13" s="24">
        <v>15629390</v>
      </c>
      <c r="AB13" s="92">
        <v>15667268</v>
      </c>
      <c r="AC13" s="92">
        <v>15677691</v>
      </c>
      <c r="AD13" s="24">
        <v>15682617</v>
      </c>
      <c r="AE13" s="24">
        <v>15676872</v>
      </c>
      <c r="AF13" s="104">
        <v>15669256</v>
      </c>
      <c r="AG13" s="24">
        <v>15673532</v>
      </c>
      <c r="AH13" s="24">
        <v>15681050</v>
      </c>
      <c r="AI13" s="24">
        <v>15682383</v>
      </c>
      <c r="AJ13" s="92">
        <v>15669805</v>
      </c>
      <c r="AK13" s="24" t="s">
        <v>11</v>
      </c>
      <c r="AL13" s="24" t="s">
        <v>11</v>
      </c>
      <c r="AM13" s="24" t="s">
        <v>11</v>
      </c>
      <c r="AN13" s="24" t="s">
        <v>11</v>
      </c>
      <c r="AO13" s="92">
        <v>15673531</v>
      </c>
      <c r="AP13" s="24">
        <v>15679857</v>
      </c>
      <c r="AQ13" s="24">
        <v>15682391</v>
      </c>
      <c r="AR13" s="104">
        <v>15670172</v>
      </c>
      <c r="AS13" s="92">
        <v>15676463</v>
      </c>
      <c r="AT13" s="24">
        <v>15679899</v>
      </c>
      <c r="AU13" s="24">
        <v>15680426</v>
      </c>
      <c r="AV13" s="55">
        <v>15676561</v>
      </c>
      <c r="AW13" s="92">
        <v>15677691</v>
      </c>
      <c r="AX13" s="92">
        <v>15676871</v>
      </c>
      <c r="AY13" s="92">
        <v>15670171</v>
      </c>
      <c r="AZ13" s="92">
        <v>15660426</v>
      </c>
      <c r="BA13" s="92">
        <v>15673426</v>
      </c>
      <c r="BB13" s="92">
        <v>15667673</v>
      </c>
      <c r="BC13" s="92">
        <v>15675662</v>
      </c>
      <c r="BD13" s="24">
        <v>15682384</v>
      </c>
      <c r="BE13" s="24">
        <v>15681054</v>
      </c>
      <c r="BF13" s="24">
        <v>15682389</v>
      </c>
      <c r="BG13" s="24">
        <v>15684551</v>
      </c>
      <c r="BH13" s="24">
        <v>15682635</v>
      </c>
      <c r="BI13" s="24">
        <v>15680423</v>
      </c>
      <c r="BJ13" s="24">
        <v>15684495</v>
      </c>
      <c r="BK13" s="24">
        <v>15658162</v>
      </c>
      <c r="BL13" s="24">
        <v>15680424</v>
      </c>
      <c r="BM13" s="24">
        <v>15684550</v>
      </c>
      <c r="BN13" s="24">
        <v>15684497</v>
      </c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</row>
    <row r="14" spans="1:144" ht="12.6" customHeight="1" x14ac:dyDescent="0.2">
      <c r="A14" s="26">
        <v>1</v>
      </c>
      <c r="B14" s="27" t="s">
        <v>13</v>
      </c>
      <c r="C14" s="138">
        <f>WORKDAY(C15,$A14,$AM$41:$AM$70)</f>
        <v>42474</v>
      </c>
      <c r="D14" s="138">
        <f>WORKDAY(D15,$A14,$AM$41:$AM$70)</f>
        <v>42479</v>
      </c>
      <c r="E14" s="138">
        <f>WORKDAY(E15,$A14,$AM$41:$AM$70)</f>
        <v>42478</v>
      </c>
      <c r="F14" s="138">
        <f>WORKDAY(F15,$A14,$AM$41:$AM$70)</f>
        <v>42487</v>
      </c>
      <c r="G14" s="138">
        <f>WORKDAY(G15,$A14,$AM$41:$AM$70)</f>
        <v>42499</v>
      </c>
      <c r="H14" s="30">
        <f>WORKDAY(H15,$A14,$AM$41:$AM$70)</f>
        <v>42514</v>
      </c>
      <c r="I14" s="30">
        <f>WORKDAY(I15,$A14,$AM$41:$AM$70)</f>
        <v>42499</v>
      </c>
      <c r="J14" s="30">
        <f>WORKDAY(J15,$A14,$AM$41:$AM$70)</f>
        <v>42499</v>
      </c>
      <c r="K14" s="30">
        <f>WORKDAY(K15,$A14,$AM$41:$AM$70)</f>
        <v>42499</v>
      </c>
      <c r="L14" s="30">
        <v>42487</v>
      </c>
      <c r="M14" s="30">
        <v>42487</v>
      </c>
      <c r="N14" s="28">
        <f>WORKDAY(N15,$A14,$AM$41:$AM$70)</f>
        <v>42527</v>
      </c>
      <c r="O14" s="28">
        <f>WORKDAY(O15,$A14,$AM$41:$AM$70)</f>
        <v>42485</v>
      </c>
      <c r="P14" s="28">
        <f>WORKDAY(P15,$A14,$AM$41:$AM$70)</f>
        <v>42481</v>
      </c>
      <c r="Q14" s="30">
        <f>WORKDAY(Q15,$A14,$AM$41:$AM$70)</f>
        <v>42447</v>
      </c>
      <c r="R14" s="28">
        <f>WORKDAY(R15,$A14,$AM$41:$AM$70)</f>
        <v>42499</v>
      </c>
      <c r="S14" s="28">
        <f>WORKDAY(S15,$A14,$AM$41:$AM$70)</f>
        <v>42499</v>
      </c>
      <c r="T14" s="28">
        <f>WORKDAY(T15,$A14,$AM$41:$AM$70)</f>
        <v>42487</v>
      </c>
      <c r="U14" s="28">
        <f>WORKDAY(U15,$A14,$AM$41:$AM$70)</f>
        <v>42499</v>
      </c>
      <c r="V14" s="28">
        <f>WORKDAY(V15,$A14,$AM$41:$AM$70)</f>
        <v>42527</v>
      </c>
      <c r="W14" s="28">
        <f>WORKDAY(W15,$A14,$AM$41:$AM$70)</f>
        <v>42527</v>
      </c>
      <c r="X14" s="28">
        <f>WORKDAY(X15,$A14,$AM$41:$AM$70)</f>
        <v>42527</v>
      </c>
      <c r="Y14" s="28">
        <f>WORKDAY(Y15,$A14,$AM$41:$AM$70)</f>
        <v>42499</v>
      </c>
      <c r="Z14" s="28">
        <f>WORKDAY(Z15,$A14,$AM$41:$AM$70)</f>
        <v>42499</v>
      </c>
      <c r="AA14" s="28">
        <f>WORKDAY(AA15,$A14,$AM$41:$AM$70)</f>
        <v>42527</v>
      </c>
      <c r="AB14" s="28">
        <f>WORKDAY(AB15,$A14,$AM$41:$AM$70)</f>
        <v>42495</v>
      </c>
      <c r="AC14" s="28">
        <f>WORKDAY(AC15,$A14,$AM$41:$AM$70)</f>
        <v>42510</v>
      </c>
      <c r="AD14" s="28">
        <f>WORKDAY(AD15,$A14,$AM$41:$AM$70)</f>
        <v>42527</v>
      </c>
      <c r="AE14" s="28">
        <f>WORKDAY(AE15,$A14,$AM$41:$AM$70)</f>
        <v>42527</v>
      </c>
      <c r="AF14" s="28">
        <f>WORKDAY(AF15,$A14,$AM$41:$AM$70)</f>
        <v>42513</v>
      </c>
      <c r="AG14" s="28">
        <f>WORKDAY(AG15,$A14,$AM$41:$AM$70)</f>
        <v>42513</v>
      </c>
      <c r="AH14" s="28">
        <f>WORKDAY(AH15,$A14,$AM$41:$AM$70)</f>
        <v>42513</v>
      </c>
      <c r="AI14" s="28">
        <f>WORKDAY(AI15,$A14,$AM$41:$AM$70)</f>
        <v>42527</v>
      </c>
      <c r="AJ14" s="28">
        <f>WORKDAY(AJ15,$A14,$AM$41:$AM$70)</f>
        <v>42478</v>
      </c>
      <c r="AK14" s="29">
        <v>42436</v>
      </c>
      <c r="AL14" s="29">
        <v>42438</v>
      </c>
      <c r="AM14" s="29">
        <v>42443</v>
      </c>
      <c r="AN14" s="29">
        <v>42460</v>
      </c>
      <c r="AO14" s="28">
        <f>WORKDAY(AO15,$A14,$AM$41:$AM$70)</f>
        <v>42488</v>
      </c>
      <c r="AP14" s="28">
        <f>WORKDAY(AP15,$A14,$AM$41:$AM$70)</f>
        <v>42527</v>
      </c>
      <c r="AQ14" s="28">
        <f>WORKDAY(AQ15,$A14,$AM$41:$AM$70)</f>
        <v>42527</v>
      </c>
      <c r="AR14" s="28">
        <f>WORKDAY(AR15,$A14,$AM$41:$AM$70)</f>
        <v>42495</v>
      </c>
      <c r="AS14" s="28">
        <f>WORKDAY(AS15,$A14,$AM$41:$AM$70)</f>
        <v>42499</v>
      </c>
      <c r="AT14" s="28">
        <f>WORKDAY(AT15,$A14,$AM$41:$AM$70)</f>
        <v>42493</v>
      </c>
      <c r="AU14" s="28">
        <f>WORKDAY(AU15,$A14,$AM$41:$AM$70)</f>
        <v>42527</v>
      </c>
      <c r="AV14" s="28">
        <f>WORKDAY(AV15,$A14,$AM$41:$AM$70)</f>
        <v>42496</v>
      </c>
      <c r="AW14" s="28">
        <f>WORKDAY(AW15,$A14,$AM$41:$AM$70)</f>
        <v>42499</v>
      </c>
      <c r="AX14" s="28">
        <f>WORKDAY(AX15,$A14,$AM$41:$AM$70)</f>
        <v>42499</v>
      </c>
      <c r="AY14" s="28">
        <f>WORKDAY(AY15,$A14,$AM$41:$AM$70)</f>
        <v>42478</v>
      </c>
      <c r="AZ14" s="28">
        <f>WORKDAY(AZ15,$A14,$AM$41:$AM$70)</f>
        <v>42450</v>
      </c>
      <c r="BA14" s="28">
        <f>WORKDAY(BA15,$A14,$AM$41:$AM$70)</f>
        <v>42487</v>
      </c>
      <c r="BB14" s="28">
        <f>WORKDAY(BB15,$A14,$AM$41:$AM$70)</f>
        <v>42468</v>
      </c>
      <c r="BC14" s="28">
        <f>WORKDAY(BC15,$A14,$AM$41:$AM$70)</f>
        <v>42499</v>
      </c>
      <c r="BD14" s="28">
        <f>WORKDAY(BD15,$A14,$AM$41:$AM$70)</f>
        <v>42527</v>
      </c>
      <c r="BE14" s="28">
        <f>WORKDAY(BE15,$A14,$AM$41:$AM$70)</f>
        <v>42527</v>
      </c>
      <c r="BF14" s="28">
        <f>WORKDAY(BF15,$A14,$AM$41:$AM$70)</f>
        <v>42527</v>
      </c>
      <c r="BG14" s="28">
        <f>WORKDAY(BG15,$A14,$AM$41:$AM$70)</f>
        <v>42527</v>
      </c>
      <c r="BH14" s="28">
        <f>WORKDAY(BH15,$A14,$AM$41:$AM$70)</f>
        <v>42527</v>
      </c>
      <c r="BI14" s="28">
        <f>WORKDAY(BI15,$A14,$AM$41:$AM$70)</f>
        <v>42527</v>
      </c>
      <c r="BJ14" s="28">
        <f>WORKDAY(BJ15,$A14,$AM$41:$AM$70)</f>
        <v>42527</v>
      </c>
      <c r="BK14" s="28">
        <f>WORKDAY(BK15,$A14,$AM$41:$AM$70)</f>
        <v>42527</v>
      </c>
      <c r="BL14" s="28">
        <f>WORKDAY(BL15,$A14,$AM$41:$AM$70)</f>
        <v>42527</v>
      </c>
      <c r="BM14" s="28">
        <f>WORKDAY(BM15,$A14,$AM$41:$AM$70)</f>
        <v>42527</v>
      </c>
      <c r="BN14" s="28">
        <f>WORKDAY(BN15,$A14,$AM$41:$AM$70)</f>
        <v>42527</v>
      </c>
      <c r="BO14" s="28">
        <f>WORKDAY(BO15,$A14,$AM$41:$AM$70)</f>
        <v>31</v>
      </c>
      <c r="BP14" s="28">
        <f>WORKDAY(BP15,$A14,$AM$41:$AM$70)</f>
        <v>31</v>
      </c>
      <c r="BQ14" s="28">
        <f>WORKDAY(BQ15,$A14,$AM$41:$AM$70)</f>
        <v>31</v>
      </c>
      <c r="BR14" s="28">
        <f>WORKDAY(BR15,$A14,$AM$41:$AM$70)</f>
        <v>31</v>
      </c>
      <c r="BS14" s="28">
        <f>WORKDAY(BS15,$A14,$AM$41:$AM$70)</f>
        <v>31</v>
      </c>
      <c r="BT14" s="28">
        <f>WORKDAY(BT15,$A14,$AM$41:$AM$70)</f>
        <v>31</v>
      </c>
      <c r="BU14" s="28">
        <f>WORKDAY(BU15,$A14,$AM$41:$AM$70)</f>
        <v>31</v>
      </c>
      <c r="BV14" s="28">
        <f>WORKDAY(BV15,$A14,$AM$41:$AM$70)</f>
        <v>31</v>
      </c>
      <c r="BW14" s="28">
        <f>WORKDAY(BW15,$A14,$AM$41:$AM$70)</f>
        <v>31</v>
      </c>
      <c r="BX14" s="28">
        <f>WORKDAY(BX15,$A14,$AM$41:$AM$70)</f>
        <v>31</v>
      </c>
      <c r="BY14" s="28">
        <f>WORKDAY(BY15,$A14,$AM$41:$AM$70)</f>
        <v>31</v>
      </c>
      <c r="BZ14" s="28">
        <f>WORKDAY(BZ15,$A14,$AM$41:$AM$70)</f>
        <v>31</v>
      </c>
      <c r="CA14" s="28">
        <f>WORKDAY(CA15,$A14,$AM$41:$AM$70)</f>
        <v>31</v>
      </c>
      <c r="CB14" s="28">
        <f>WORKDAY(CB15,$A14,$AM$41:$AM$70)</f>
        <v>31</v>
      </c>
      <c r="CC14" s="28">
        <f>WORKDAY(CC15,$A14,$AM$41:$AM$70)</f>
        <v>31</v>
      </c>
      <c r="CD14" s="28">
        <f>WORKDAY(CD15,$A14,$AM$41:$AM$70)</f>
        <v>31</v>
      </c>
      <c r="CE14" s="28">
        <f>WORKDAY(CE15,$A14,$AM$41:$AM$70)</f>
        <v>31</v>
      </c>
      <c r="CF14" s="28">
        <f>WORKDAY(CF15,$A14,$AM$41:$AM$70)</f>
        <v>31</v>
      </c>
      <c r="CG14" s="28">
        <f>WORKDAY(CG15,$A14,$AM$41:$AM$70)</f>
        <v>31</v>
      </c>
      <c r="CH14" s="28">
        <f>WORKDAY(CH15,$A14,$AM$41:$AM$70)</f>
        <v>31</v>
      </c>
      <c r="CI14" s="28">
        <f>WORKDAY(CI15,$A14,$AM$41:$AM$70)</f>
        <v>31</v>
      </c>
      <c r="CJ14" s="28">
        <f>WORKDAY(CJ15,$A14,$AM$41:$AM$70)</f>
        <v>31</v>
      </c>
      <c r="CK14" s="28">
        <f>WORKDAY(CK15,$A14,$AM$41:$AM$70)</f>
        <v>31</v>
      </c>
      <c r="CL14" s="28">
        <f>WORKDAY(CL15,$A14,$AM$41:$AM$70)</f>
        <v>31</v>
      </c>
      <c r="CM14" s="28">
        <f>WORKDAY(CM15,$A14,$AM$41:$AM$70)</f>
        <v>31</v>
      </c>
      <c r="CN14" s="28">
        <f>WORKDAY(CN15,$A14,$AM$41:$AM$70)</f>
        <v>31</v>
      </c>
      <c r="CO14" s="28">
        <f>WORKDAY(CO15,$A14,$AM$41:$AM$70)</f>
        <v>31</v>
      </c>
      <c r="CP14" s="28">
        <f>WORKDAY(CP15,$A14,$AM$41:$AM$70)</f>
        <v>31</v>
      </c>
      <c r="CQ14" s="28">
        <f>WORKDAY(CQ15,$A14,$AM$41:$AM$70)</f>
        <v>31</v>
      </c>
      <c r="CR14" s="28">
        <f>WORKDAY(CR15,$A14,$AM$41:$AM$70)</f>
        <v>31</v>
      </c>
      <c r="CS14" s="28">
        <f>WORKDAY(CS15,$A14,$AM$41:$AM$70)</f>
        <v>31</v>
      </c>
      <c r="CT14" s="28">
        <f>WORKDAY(CT15,$A14,$AM$41:$AM$70)</f>
        <v>31</v>
      </c>
      <c r="CU14" s="28">
        <f>WORKDAY(CU15,$A14,$AM$41:$AM$70)</f>
        <v>31</v>
      </c>
      <c r="CV14" s="28">
        <f>WORKDAY(CV15,$A14,$AM$41:$AM$70)</f>
        <v>31</v>
      </c>
      <c r="CW14" s="28">
        <f>WORKDAY(CW15,$A14,$AM$41:$AM$70)</f>
        <v>31</v>
      </c>
      <c r="CX14" s="28">
        <f>WORKDAY(CX15,$A14,$AM$41:$AM$70)</f>
        <v>31</v>
      </c>
      <c r="CY14" s="28">
        <f>WORKDAY(CY15,$A14,$AM$41:$AM$70)</f>
        <v>31</v>
      </c>
      <c r="CZ14" s="28">
        <f>WORKDAY(CZ15,$A14,$AM$41:$AM$70)</f>
        <v>31</v>
      </c>
      <c r="DA14" s="28">
        <f>WORKDAY(DA15,$A14,$AM$41:$AM$70)</f>
        <v>31</v>
      </c>
      <c r="DB14" s="28">
        <f>WORKDAY(DB15,$A14,$AM$41:$AM$70)</f>
        <v>31</v>
      </c>
      <c r="DC14" s="28">
        <f>WORKDAY(DC15,$A14,$AM$41:$AM$70)</f>
        <v>31</v>
      </c>
      <c r="DD14" s="28">
        <f>WORKDAY(DD15,$A14,$AM$41:$AM$70)</f>
        <v>31</v>
      </c>
      <c r="DE14" s="28">
        <f>WORKDAY(DE15,$A14,$AM$41:$AM$70)</f>
        <v>31</v>
      </c>
    </row>
    <row r="15" spans="1:144" ht="12.6" customHeight="1" x14ac:dyDescent="0.2">
      <c r="A15" s="26">
        <v>2</v>
      </c>
      <c r="B15" s="27" t="s">
        <v>14</v>
      </c>
      <c r="C15" s="30">
        <f>WORKDAY(C16,$A15,$AM$41:$AM$70)</f>
        <v>42473</v>
      </c>
      <c r="D15" s="30">
        <f>WORKDAY(D16,$A15,$AM$41:$AM$70)</f>
        <v>42478</v>
      </c>
      <c r="E15" s="30">
        <f>WORKDAY(E16,$A15,$AM$41:$AM$70)</f>
        <v>42475</v>
      </c>
      <c r="F15" s="30">
        <f>WORKDAY(F16,$A15,$AM$41:$AM$70)</f>
        <v>42486</v>
      </c>
      <c r="G15" s="30">
        <f>WORKDAY(G16,$A15,$AM$41:$AM$70)</f>
        <v>42496</v>
      </c>
      <c r="H15" s="30">
        <f>WORKDAY(H16,$A15,$AM$41:$AM$70)</f>
        <v>42513</v>
      </c>
      <c r="I15" s="30">
        <f>WORKDAY(I16,$A15,$AM$41:$AM$70)</f>
        <v>42496</v>
      </c>
      <c r="J15" s="30">
        <f>WORKDAY(J16,$A15,$AM$41:$AM$70)</f>
        <v>42496</v>
      </c>
      <c r="K15" s="30">
        <f>WORKDAY(K16,$A15,$AM$41:$AM$70)</f>
        <v>42496</v>
      </c>
      <c r="L15" s="30">
        <f>WORKDAY(L16,$A15,$AM$41:$AM$70)</f>
        <v>42523</v>
      </c>
      <c r="M15" s="30">
        <f>WORKDAY(M16,$A15,$AM$41:$AM$70)</f>
        <v>42523</v>
      </c>
      <c r="N15" s="28">
        <f>WORKDAY(N16,$A15,$AM$41:$AM$70)</f>
        <v>42524</v>
      </c>
      <c r="O15" s="28">
        <f>WORKDAY(O16,$A15,$AM$41:$AM$70)</f>
        <v>42482</v>
      </c>
      <c r="P15" s="28">
        <f>WORKDAY(P16,$A15,$AM$41:$AM$70)</f>
        <v>42480</v>
      </c>
      <c r="Q15" s="30">
        <f>WORKDAY(Q16,$A15,$AM$41:$AM$70)</f>
        <v>42446</v>
      </c>
      <c r="R15" s="28">
        <f>WORKDAY(R16,$A15,$AM$41:$AM$70)</f>
        <v>42496</v>
      </c>
      <c r="S15" s="28">
        <f>WORKDAY(S16,$A15,$AM$41:$AM$70)</f>
        <v>42496</v>
      </c>
      <c r="T15" s="28">
        <f>WORKDAY(T16,$A15,$AM$41:$AM$70)</f>
        <v>42486</v>
      </c>
      <c r="U15" s="28">
        <f>WORKDAY(U16,$A15,$AM$41:$AM$70)</f>
        <v>42496</v>
      </c>
      <c r="V15" s="28">
        <f>WORKDAY(V16,$A15,$AM$41:$AM$70)</f>
        <v>42524</v>
      </c>
      <c r="W15" s="28">
        <f>WORKDAY(W16,$A15,$AM$41:$AM$70)</f>
        <v>42524</v>
      </c>
      <c r="X15" s="28">
        <f>WORKDAY(X16,$A15,$AM$41:$AM$70)</f>
        <v>42524</v>
      </c>
      <c r="Y15" s="28">
        <f>WORKDAY(Y16,$A15,$AM$41:$AM$70)</f>
        <v>42496</v>
      </c>
      <c r="Z15" s="28">
        <f>WORKDAY(Z16,$A15,$AM$41:$AM$70)</f>
        <v>42496</v>
      </c>
      <c r="AA15" s="28">
        <f>WORKDAY(AA16,$A15,$AM$41:$AM$70)</f>
        <v>42524</v>
      </c>
      <c r="AB15" s="28">
        <f>WORKDAY(AB16,$A15,$AM$41:$AM$70)</f>
        <v>42494</v>
      </c>
      <c r="AC15" s="28">
        <f>WORKDAY(AC16,$A15,$AM$41:$AM$70)</f>
        <v>42509</v>
      </c>
      <c r="AD15" s="28">
        <f>WORKDAY(AD16,$A15,$AM$41:$AM$70)</f>
        <v>42524</v>
      </c>
      <c r="AE15" s="28">
        <f>WORKDAY(AE16,$A15,$AM$41:$AM$70)</f>
        <v>42524</v>
      </c>
      <c r="AF15" s="28">
        <f>WORKDAY(AF16,$A15,$AM$41:$AM$70)</f>
        <v>42510</v>
      </c>
      <c r="AG15" s="28">
        <f>WORKDAY(AG16,$A15,$AM$41:$AM$70)</f>
        <v>42510</v>
      </c>
      <c r="AH15" s="28">
        <f>WORKDAY(AH16,$A15,$AM$41:$AM$70)</f>
        <v>42510</v>
      </c>
      <c r="AI15" s="28">
        <f>WORKDAY(AI16,$A15,$AM$41:$AM$70)</f>
        <v>42524</v>
      </c>
      <c r="AJ15" s="28">
        <f>WORKDAY(AJ16,$A15,$AM$41:$AM$70)</f>
        <v>42475</v>
      </c>
      <c r="AK15" s="30">
        <f>WORKDAY(AK16,$A15,$AM$41:$AM$70)</f>
        <v>42437</v>
      </c>
      <c r="AL15" s="30">
        <f>WORKDAY(AL16,$A15,$AM$41:$AM$70)</f>
        <v>42438</v>
      </c>
      <c r="AM15" s="30">
        <f>WORKDAY(AM16,$A15,$AM$41:$AM$70)</f>
        <v>42444</v>
      </c>
      <c r="AN15" s="30">
        <v>42447</v>
      </c>
      <c r="AO15" s="28">
        <f>WORKDAY(AO16,$A15,$AM$41:$AM$70)</f>
        <v>42487</v>
      </c>
      <c r="AP15" s="28">
        <f>WORKDAY(AP16,$A15,$AM$41:$AM$70)</f>
        <v>42524</v>
      </c>
      <c r="AQ15" s="28">
        <f>WORKDAY(AQ16,$A15,$AM$41:$AM$70)</f>
        <v>42524</v>
      </c>
      <c r="AR15" s="28">
        <f>WORKDAY(AR16,$A15,$AM$41:$AM$70)</f>
        <v>42494</v>
      </c>
      <c r="AS15" s="28">
        <f>WORKDAY(AS16,$A15,$AM$41:$AM$70)</f>
        <v>42496</v>
      </c>
      <c r="AT15" s="28">
        <f>WORKDAY(AT16,$A15,$AM$41:$AM$70)</f>
        <v>42492</v>
      </c>
      <c r="AU15" s="28">
        <f>WORKDAY(AU16,$A15,$AM$41:$AM$70)</f>
        <v>42524</v>
      </c>
      <c r="AV15" s="28">
        <f>WORKDAY(AV16,$A15,$AM$41:$AM$70)</f>
        <v>42495</v>
      </c>
      <c r="AW15" s="28">
        <f>WORKDAY(AW16,$A15,$AM$41:$AM$70)</f>
        <v>42496</v>
      </c>
      <c r="AX15" s="28">
        <f>WORKDAY(AX16,$A15,$AM$41:$AM$70)</f>
        <v>42496</v>
      </c>
      <c r="AY15" s="28">
        <f>WORKDAY(AY16,$A15,$AM$41:$AM$70)</f>
        <v>42475</v>
      </c>
      <c r="AZ15" s="28">
        <f>WORKDAY(AZ16,$A15,$AM$41:$AM$70)</f>
        <v>42447</v>
      </c>
      <c r="BA15" s="28">
        <f>WORKDAY(BA16,$A15,$AM$41:$AM$70)</f>
        <v>42486</v>
      </c>
      <c r="BB15" s="28">
        <f>WORKDAY(BB16,$A15,$AM$41:$AM$70)</f>
        <v>42467</v>
      </c>
      <c r="BC15" s="28">
        <f>WORKDAY(BC16,$A15,$AM$41:$AM$70)</f>
        <v>42496</v>
      </c>
      <c r="BD15" s="28">
        <f>WORKDAY(BD16,$A15,$AM$41:$AM$70)</f>
        <v>42524</v>
      </c>
      <c r="BE15" s="28">
        <f>WORKDAY(BE16,$A15,$AM$41:$AM$70)</f>
        <v>42524</v>
      </c>
      <c r="BF15" s="28">
        <f>WORKDAY(BF16,$A15,$AM$41:$AM$70)</f>
        <v>42524</v>
      </c>
      <c r="BG15" s="28">
        <f>WORKDAY(BG16,$A15,$AM$41:$AM$70)</f>
        <v>42524</v>
      </c>
      <c r="BH15" s="28">
        <f>WORKDAY(BH16,$A15,$AM$41:$AM$70)</f>
        <v>42524</v>
      </c>
      <c r="BI15" s="28">
        <f>WORKDAY(BI16,$A15,$AM$41:$AM$70)</f>
        <v>42524</v>
      </c>
      <c r="BJ15" s="28">
        <f>WORKDAY(BJ16,$A15,$AM$41:$AM$70)</f>
        <v>42524</v>
      </c>
      <c r="BK15" s="28">
        <f>WORKDAY(BK16,$A15,$AM$41:$AM$70)</f>
        <v>42524</v>
      </c>
      <c r="BL15" s="28">
        <f>WORKDAY(BL16,$A15,$AM$41:$AM$70)</f>
        <v>42524</v>
      </c>
      <c r="BM15" s="28">
        <f>WORKDAY(BM16,$A15,$AM$41:$AM$70)</f>
        <v>42524</v>
      </c>
      <c r="BN15" s="28">
        <f>WORKDAY(BN16,$A15,$AM$41:$AM$70)</f>
        <v>42524</v>
      </c>
      <c r="BO15" s="28">
        <f>WORKDAY(BO16,$A15,$AM$41:$AM$70)</f>
        <v>30</v>
      </c>
      <c r="BP15" s="28">
        <f>WORKDAY(BP16,$A15,$AM$41:$AM$70)</f>
        <v>30</v>
      </c>
      <c r="BQ15" s="28">
        <f>WORKDAY(BQ16,$A15,$AM$41:$AM$70)</f>
        <v>30</v>
      </c>
      <c r="BR15" s="28">
        <f>WORKDAY(BR16,$A15,$AM$41:$AM$70)</f>
        <v>30</v>
      </c>
      <c r="BS15" s="28">
        <f>WORKDAY(BS16,$A15,$AM$41:$AM$70)</f>
        <v>30</v>
      </c>
      <c r="BT15" s="28">
        <f>WORKDAY(BT16,$A15,$AM$41:$AM$70)</f>
        <v>30</v>
      </c>
      <c r="BU15" s="28">
        <f>WORKDAY(BU16,$A15,$AM$41:$AM$70)</f>
        <v>30</v>
      </c>
      <c r="BV15" s="28">
        <f>WORKDAY(BV16,$A15,$AM$41:$AM$70)</f>
        <v>30</v>
      </c>
      <c r="BW15" s="28">
        <f>WORKDAY(BW16,$A15,$AM$41:$AM$70)</f>
        <v>30</v>
      </c>
      <c r="BX15" s="28">
        <f>WORKDAY(BX16,$A15,$AM$41:$AM$70)</f>
        <v>30</v>
      </c>
      <c r="BY15" s="28">
        <f>WORKDAY(BY16,$A15,$AM$41:$AM$70)</f>
        <v>30</v>
      </c>
      <c r="BZ15" s="28">
        <f>WORKDAY(BZ16,$A15,$AM$41:$AM$70)</f>
        <v>30</v>
      </c>
      <c r="CA15" s="28">
        <f>WORKDAY(CA16,$A15,$AM$41:$AM$70)</f>
        <v>30</v>
      </c>
      <c r="CB15" s="28">
        <f>WORKDAY(CB16,$A15,$AM$41:$AM$70)</f>
        <v>30</v>
      </c>
      <c r="CC15" s="28">
        <f>WORKDAY(CC16,$A15,$AM$41:$AM$70)</f>
        <v>30</v>
      </c>
      <c r="CD15" s="28">
        <f>WORKDAY(CD16,$A15,$AM$41:$AM$70)</f>
        <v>30</v>
      </c>
      <c r="CE15" s="28">
        <f>WORKDAY(CE16,$A15,$AM$41:$AM$70)</f>
        <v>30</v>
      </c>
      <c r="CF15" s="28">
        <f>WORKDAY(CF16,$A15,$AM$41:$AM$70)</f>
        <v>30</v>
      </c>
      <c r="CG15" s="28">
        <f>WORKDAY(CG16,$A15,$AM$41:$AM$70)</f>
        <v>30</v>
      </c>
      <c r="CH15" s="28">
        <f>WORKDAY(CH16,$A15,$AM$41:$AM$70)</f>
        <v>30</v>
      </c>
      <c r="CI15" s="28">
        <f>WORKDAY(CI16,$A15,$AM$41:$AM$70)</f>
        <v>30</v>
      </c>
      <c r="CJ15" s="28">
        <f>WORKDAY(CJ16,$A15,$AM$41:$AM$70)</f>
        <v>30</v>
      </c>
      <c r="CK15" s="28">
        <f>WORKDAY(CK16,$A15,$AM$41:$AM$70)</f>
        <v>30</v>
      </c>
      <c r="CL15" s="28">
        <f>WORKDAY(CL16,$A15,$AM$41:$AM$70)</f>
        <v>30</v>
      </c>
      <c r="CM15" s="28">
        <f>WORKDAY(CM16,$A15,$AM$41:$AM$70)</f>
        <v>30</v>
      </c>
      <c r="CN15" s="28">
        <f>WORKDAY(CN16,$A15,$AM$41:$AM$70)</f>
        <v>30</v>
      </c>
      <c r="CO15" s="28">
        <f>WORKDAY(CO16,$A15,$AM$41:$AM$70)</f>
        <v>30</v>
      </c>
      <c r="CP15" s="28">
        <f>WORKDAY(CP16,$A15,$AM$41:$AM$70)</f>
        <v>30</v>
      </c>
      <c r="CQ15" s="28">
        <f>WORKDAY(CQ16,$A15,$AM$41:$AM$70)</f>
        <v>30</v>
      </c>
      <c r="CR15" s="28">
        <f>WORKDAY(CR16,$A15,$AM$41:$AM$70)</f>
        <v>30</v>
      </c>
      <c r="CS15" s="28">
        <f>WORKDAY(CS16,$A15,$AM$41:$AM$70)</f>
        <v>30</v>
      </c>
      <c r="CT15" s="28">
        <f>WORKDAY(CT16,$A15,$AM$41:$AM$70)</f>
        <v>30</v>
      </c>
      <c r="CU15" s="28">
        <f>WORKDAY(CU16,$A15,$AM$41:$AM$70)</f>
        <v>30</v>
      </c>
      <c r="CV15" s="28">
        <f>WORKDAY(CV16,$A15,$AM$41:$AM$70)</f>
        <v>30</v>
      </c>
      <c r="CW15" s="28">
        <f>WORKDAY(CW16,$A15,$AM$41:$AM$70)</f>
        <v>30</v>
      </c>
      <c r="CX15" s="28">
        <f>WORKDAY(CX16,$A15,$AM$41:$AM$70)</f>
        <v>30</v>
      </c>
      <c r="CY15" s="28">
        <f>WORKDAY(CY16,$A15,$AM$41:$AM$70)</f>
        <v>30</v>
      </c>
      <c r="CZ15" s="28">
        <f>WORKDAY(CZ16,$A15,$AM$41:$AM$70)</f>
        <v>30</v>
      </c>
      <c r="DA15" s="28">
        <f>WORKDAY(DA16,$A15,$AM$41:$AM$70)</f>
        <v>30</v>
      </c>
      <c r="DB15" s="28">
        <f>WORKDAY(DB16,$A15,$AM$41:$AM$70)</f>
        <v>30</v>
      </c>
      <c r="DC15" s="28">
        <f>WORKDAY(DC16,$A15,$AM$41:$AM$70)</f>
        <v>30</v>
      </c>
      <c r="DD15" s="28">
        <f>WORKDAY(DD16,$A15,$AM$41:$AM$70)</f>
        <v>30</v>
      </c>
      <c r="DE15" s="28">
        <f>WORKDAY(DE16,$A15,$AM$41:$AM$70)</f>
        <v>30</v>
      </c>
    </row>
    <row r="16" spans="1:144" ht="12" customHeight="1" x14ac:dyDescent="0.2">
      <c r="A16" s="26">
        <v>5</v>
      </c>
      <c r="B16" s="27" t="s">
        <v>15</v>
      </c>
      <c r="C16" s="30">
        <f>WORKDAY(C17,$A16,$AM$41:$AM$70)</f>
        <v>42471</v>
      </c>
      <c r="D16" s="30">
        <f>WORKDAY(D17,$A16,$AM$41:$AM$70)</f>
        <v>42474</v>
      </c>
      <c r="E16" s="30">
        <f>WORKDAY(E17,$A16,$AM$41:$AM$70)</f>
        <v>42473</v>
      </c>
      <c r="F16" s="30">
        <f>WORKDAY(F17,$A16,$AM$41:$AM$70)</f>
        <v>42482</v>
      </c>
      <c r="G16" s="30">
        <f>WORKDAY(G17,$A16,$AM$41:$AM$70)</f>
        <v>42494</v>
      </c>
      <c r="H16" s="30">
        <f>WORKDAY(H17,$A16,$AM$41:$AM$70)</f>
        <v>42509</v>
      </c>
      <c r="I16" s="30">
        <f>WORKDAY(I17,$A16,$AM$41:$AM$70)</f>
        <v>42494</v>
      </c>
      <c r="J16" s="30">
        <f>WORKDAY(J17,$A16,$AM$41:$AM$70)</f>
        <v>42494</v>
      </c>
      <c r="K16" s="30">
        <f>WORKDAY(K17,$A16,$AM$41:$AM$70)</f>
        <v>42494</v>
      </c>
      <c r="L16" s="30">
        <f>WORKDAY(L17,$A16,$AM$41:$AM$70)</f>
        <v>42521</v>
      </c>
      <c r="M16" s="30">
        <f>WORKDAY(M17,$A16,$AM$41:$AM$70)</f>
        <v>42521</v>
      </c>
      <c r="N16" s="30">
        <f>WORKDAY(N17,$A16,$AM$41:$AM$70)</f>
        <v>42522</v>
      </c>
      <c r="O16" s="30">
        <f>WORKDAY(O17,$A16,$AM$41:$AM$70)</f>
        <v>42480</v>
      </c>
      <c r="P16" s="30">
        <f>WORKDAY(P17,$A16,$AM$41:$AM$70)</f>
        <v>42478</v>
      </c>
      <c r="Q16" s="30">
        <f>WORKDAY(Q17,$A16,$AM$41:$AM$70)</f>
        <v>42444</v>
      </c>
      <c r="R16" s="30">
        <f>WORKDAY(R17,$A16,$AM$41:$AM$70)</f>
        <v>42494</v>
      </c>
      <c r="S16" s="30">
        <f>WORKDAY(S17,$A16,$AM$41:$AM$70)</f>
        <v>42494</v>
      </c>
      <c r="T16" s="30">
        <f>WORKDAY(T17,$A16,$AM$41:$AM$70)</f>
        <v>42482</v>
      </c>
      <c r="U16" s="30">
        <f>WORKDAY(U17,$A16,$AM$41:$AM$70)</f>
        <v>42494</v>
      </c>
      <c r="V16" s="30">
        <f>WORKDAY(V17,$A16,$AM$41:$AM$70)</f>
        <v>42522</v>
      </c>
      <c r="W16" s="30">
        <f>WORKDAY(W17,$A16,$AM$41:$AM$70)</f>
        <v>42522</v>
      </c>
      <c r="X16" s="30">
        <f>WORKDAY(X17,$A16,$AM$41:$AM$70)</f>
        <v>42522</v>
      </c>
      <c r="Y16" s="30">
        <f>WORKDAY(Y17,$A16,$AM$41:$AM$70)</f>
        <v>42494</v>
      </c>
      <c r="Z16" s="30">
        <f>WORKDAY(Z17,$A16,$AM$41:$AM$70)</f>
        <v>42494</v>
      </c>
      <c r="AA16" s="30">
        <f>WORKDAY(AA17,$A16,$AM$41:$AM$70)</f>
        <v>42522</v>
      </c>
      <c r="AB16" s="30">
        <f>WORKDAY(AB17,$A16,$AM$41:$AM$70)</f>
        <v>42492</v>
      </c>
      <c r="AC16" s="30">
        <f>WORKDAY(AC17,$A16,$AM$41:$AM$70)</f>
        <v>42507</v>
      </c>
      <c r="AD16" s="30">
        <f>WORKDAY(AD17,$A16,$AM$41:$AM$70)</f>
        <v>42522</v>
      </c>
      <c r="AE16" s="28">
        <f>WORKDAY(AE17,$A16,$AM$41:$AM$70)</f>
        <v>42522</v>
      </c>
      <c r="AF16" s="28">
        <f>WORKDAY(AF17,$A16,$AM$41:$AM$70)</f>
        <v>42508</v>
      </c>
      <c r="AG16" s="28">
        <f>WORKDAY(AG17,$A16,$AM$41:$AM$70)</f>
        <v>42508</v>
      </c>
      <c r="AH16" s="28">
        <f>WORKDAY(AH17,$A16,$AM$41:$AM$70)</f>
        <v>42508</v>
      </c>
      <c r="AI16" s="28">
        <f>WORKDAY(AI17,$A16,$AM$41:$AM$70)</f>
        <v>42522</v>
      </c>
      <c r="AJ16" s="28">
        <f>WORKDAY(AJ17,$A16,$AM$41:$AM$70)</f>
        <v>42473</v>
      </c>
      <c r="AK16" s="30">
        <v>42433</v>
      </c>
      <c r="AL16" s="30">
        <v>42436</v>
      </c>
      <c r="AM16" s="30">
        <v>42440</v>
      </c>
      <c r="AN16" s="30">
        <v>42447</v>
      </c>
      <c r="AO16" s="28">
        <f>WORKDAY(AO17,$A16,$AM$41:$AM$70)</f>
        <v>42485</v>
      </c>
      <c r="AP16" s="28">
        <f>WORKDAY(AP17,$A16,$AM$41:$AM$70)</f>
        <v>42522</v>
      </c>
      <c r="AQ16" s="28">
        <f>WORKDAY(AQ17,$A16,$AM$41:$AM$70)</f>
        <v>42522</v>
      </c>
      <c r="AR16" s="28">
        <f>WORKDAY(AR17,$A16,$AM$41:$AM$70)</f>
        <v>42492</v>
      </c>
      <c r="AS16" s="28">
        <f>WORKDAY(AS17,$A16,$AM$41:$AM$70)</f>
        <v>42494</v>
      </c>
      <c r="AT16" s="28">
        <f>WORKDAY(AT17,$A16,$AM$41:$AM$70)</f>
        <v>42488</v>
      </c>
      <c r="AU16" s="28">
        <f>WORKDAY(AU17,$A16,$AM$41:$AM$70)</f>
        <v>42522</v>
      </c>
      <c r="AV16" s="28">
        <f>WORKDAY(AV17,$A16,$AM$41:$AM$70)</f>
        <v>42493</v>
      </c>
      <c r="AW16" s="28">
        <f>WORKDAY(AW17,$A16,$AM$41:$AM$70)</f>
        <v>42494</v>
      </c>
      <c r="AX16" s="28">
        <f>WORKDAY(AX17,$A16,$AM$41:$AM$70)</f>
        <v>42494</v>
      </c>
      <c r="AY16" s="28">
        <f>WORKDAY(AY17,$A16,$AM$41:$AM$70)</f>
        <v>42473</v>
      </c>
      <c r="AZ16" s="28">
        <f>WORKDAY(AZ17,$A16,$AM$41:$AM$70)</f>
        <v>42445</v>
      </c>
      <c r="BA16" s="28">
        <f>WORKDAY(BA17,$A16,$AM$41:$AM$70)</f>
        <v>42482</v>
      </c>
      <c r="BB16" s="28">
        <f>WORKDAY(BB17,$A16,$AM$41:$AM$70)</f>
        <v>42465</v>
      </c>
      <c r="BC16" s="28">
        <f>WORKDAY(BC17,$A16,$AM$41:$AM$70)</f>
        <v>42494</v>
      </c>
      <c r="BD16" s="28">
        <f>WORKDAY(BD17,$A16,$AM$41:$AM$70)</f>
        <v>42522</v>
      </c>
      <c r="BE16" s="28">
        <f>WORKDAY(BE17,$A16,$AM$41:$AM$70)</f>
        <v>42522</v>
      </c>
      <c r="BF16" s="28">
        <f>WORKDAY(BF17,$A16,$AM$41:$AM$70)</f>
        <v>42522</v>
      </c>
      <c r="BG16" s="28">
        <f>WORKDAY(BG17,$A16,$AM$41:$AM$70)</f>
        <v>42522</v>
      </c>
      <c r="BH16" s="28">
        <f>WORKDAY(BH17,$A16,$AM$41:$AM$70)</f>
        <v>42522</v>
      </c>
      <c r="BI16" s="28">
        <f>WORKDAY(BI17,$A16,$AM$41:$AM$70)</f>
        <v>42522</v>
      </c>
      <c r="BJ16" s="28">
        <f>WORKDAY(BJ17,$A16,$AM$41:$AM$70)</f>
        <v>42522</v>
      </c>
      <c r="BK16" s="28">
        <f>WORKDAY(BK17,$A16,$AM$41:$AM$70)</f>
        <v>42522</v>
      </c>
      <c r="BL16" s="28">
        <f>WORKDAY(BL17,$A16,$AM$41:$AM$70)</f>
        <v>42522</v>
      </c>
      <c r="BM16" s="28">
        <f>WORKDAY(BM17,$A16,$AM$41:$AM$70)</f>
        <v>42522</v>
      </c>
      <c r="BN16" s="28">
        <f>WORKDAY(BN17,$A16,$AM$41:$AM$70)</f>
        <v>42522</v>
      </c>
      <c r="BO16" s="28">
        <f>WORKDAY(BO17,$A16,$AM$41:$AM$70)</f>
        <v>26</v>
      </c>
      <c r="BP16" s="28">
        <f>WORKDAY(BP17,$A16,$AM$41:$AM$70)</f>
        <v>26</v>
      </c>
      <c r="BQ16" s="28">
        <f>WORKDAY(BQ17,$A16,$AM$41:$AM$70)</f>
        <v>26</v>
      </c>
      <c r="BR16" s="28">
        <f>WORKDAY(BR17,$A16,$AM$41:$AM$70)</f>
        <v>26</v>
      </c>
      <c r="BS16" s="28">
        <f>WORKDAY(BS17,$A16,$AM$41:$AM$70)</f>
        <v>26</v>
      </c>
      <c r="BT16" s="28">
        <f>WORKDAY(BT17,$A16,$AM$41:$AM$70)</f>
        <v>26</v>
      </c>
      <c r="BU16" s="28">
        <f>WORKDAY(BU17,$A16,$AM$41:$AM$70)</f>
        <v>26</v>
      </c>
      <c r="BV16" s="28">
        <f>WORKDAY(BV17,$A16,$AM$41:$AM$70)</f>
        <v>26</v>
      </c>
      <c r="BW16" s="28">
        <f>WORKDAY(BW17,$A16,$AM$41:$AM$70)</f>
        <v>26</v>
      </c>
      <c r="BX16" s="28">
        <f>WORKDAY(BX17,$A16,$AM$41:$AM$70)</f>
        <v>26</v>
      </c>
      <c r="BY16" s="28">
        <f>WORKDAY(BY17,$A16,$AM$41:$AM$70)</f>
        <v>26</v>
      </c>
      <c r="BZ16" s="28">
        <f>WORKDAY(BZ17,$A16,$AM$41:$AM$70)</f>
        <v>26</v>
      </c>
      <c r="CA16" s="28">
        <f>WORKDAY(CA17,$A16,$AM$41:$AM$70)</f>
        <v>26</v>
      </c>
      <c r="CB16" s="28">
        <f>WORKDAY(CB17,$A16,$AM$41:$AM$70)</f>
        <v>26</v>
      </c>
      <c r="CC16" s="28">
        <f>WORKDAY(CC17,$A16,$AM$41:$AM$70)</f>
        <v>26</v>
      </c>
      <c r="CD16" s="28">
        <f>WORKDAY(CD17,$A16,$AM$41:$AM$70)</f>
        <v>26</v>
      </c>
      <c r="CE16" s="28">
        <f>WORKDAY(CE17,$A16,$AM$41:$AM$70)</f>
        <v>26</v>
      </c>
      <c r="CF16" s="28">
        <f>WORKDAY(CF17,$A16,$AM$41:$AM$70)</f>
        <v>26</v>
      </c>
      <c r="CG16" s="28">
        <f>WORKDAY(CG17,$A16,$AM$41:$AM$70)</f>
        <v>26</v>
      </c>
      <c r="CH16" s="28">
        <f>WORKDAY(CH17,$A16,$AM$41:$AM$70)</f>
        <v>26</v>
      </c>
      <c r="CI16" s="28">
        <f>WORKDAY(CI17,$A16,$AM$41:$AM$70)</f>
        <v>26</v>
      </c>
      <c r="CJ16" s="28">
        <f>WORKDAY(CJ17,$A16,$AM$41:$AM$70)</f>
        <v>26</v>
      </c>
      <c r="CK16" s="28">
        <f>WORKDAY(CK17,$A16,$AM$41:$AM$70)</f>
        <v>26</v>
      </c>
      <c r="CL16" s="28">
        <f>WORKDAY(CL17,$A16,$AM$41:$AM$70)</f>
        <v>26</v>
      </c>
      <c r="CM16" s="28">
        <f>WORKDAY(CM17,$A16,$AM$41:$AM$70)</f>
        <v>26</v>
      </c>
      <c r="CN16" s="28">
        <f>WORKDAY(CN17,$A16,$AM$41:$AM$70)</f>
        <v>26</v>
      </c>
      <c r="CO16" s="28">
        <f>WORKDAY(CO17,$A16,$AM$41:$AM$70)</f>
        <v>26</v>
      </c>
      <c r="CP16" s="28">
        <f>WORKDAY(CP17,$A16,$AM$41:$AM$70)</f>
        <v>26</v>
      </c>
      <c r="CQ16" s="28">
        <f>WORKDAY(CQ17,$A16,$AM$41:$AM$70)</f>
        <v>26</v>
      </c>
      <c r="CR16" s="28">
        <f>WORKDAY(CR17,$A16,$AM$41:$AM$70)</f>
        <v>26</v>
      </c>
      <c r="CS16" s="28">
        <f>WORKDAY(CS17,$A16,$AM$41:$AM$70)</f>
        <v>26</v>
      </c>
      <c r="CT16" s="28">
        <f>WORKDAY(CT17,$A16,$AM$41:$AM$70)</f>
        <v>26</v>
      </c>
      <c r="CU16" s="28">
        <f>WORKDAY(CU17,$A16,$AM$41:$AM$70)</f>
        <v>26</v>
      </c>
      <c r="CV16" s="28">
        <f>WORKDAY(CV17,$A16,$AM$41:$AM$70)</f>
        <v>26</v>
      </c>
      <c r="CW16" s="28">
        <f>WORKDAY(CW17,$A16,$AM$41:$AM$70)</f>
        <v>26</v>
      </c>
      <c r="CX16" s="28">
        <f>WORKDAY(CX17,$A16,$AM$41:$AM$70)</f>
        <v>26</v>
      </c>
      <c r="CY16" s="28">
        <f>WORKDAY(CY17,$A16,$AM$41:$AM$70)</f>
        <v>26</v>
      </c>
      <c r="CZ16" s="28">
        <f>WORKDAY(CZ17,$A16,$AM$41:$AM$70)</f>
        <v>26</v>
      </c>
      <c r="DA16" s="28">
        <f>WORKDAY(DA17,$A16,$AM$41:$AM$70)</f>
        <v>26</v>
      </c>
      <c r="DB16" s="28">
        <f>WORKDAY(DB17,$A16,$AM$41:$AM$70)</f>
        <v>26</v>
      </c>
      <c r="DC16" s="28">
        <f>WORKDAY(DC17,$A16,$AM$41:$AM$70)</f>
        <v>26</v>
      </c>
      <c r="DD16" s="28">
        <f>WORKDAY(DD17,$A16,$AM$41:$AM$70)</f>
        <v>26</v>
      </c>
      <c r="DE16" s="28">
        <f>WORKDAY(DE17,$A16,$AM$41:$AM$70)</f>
        <v>26</v>
      </c>
    </row>
    <row r="17" spans="1:109" ht="14.25" hidden="1" customHeight="1" x14ac:dyDescent="0.2">
      <c r="A17" s="26">
        <v>0</v>
      </c>
      <c r="B17" s="27" t="s">
        <v>16</v>
      </c>
      <c r="C17" s="30">
        <f>WORKDAY(C18,$A17,$AM$41:$AM$70)</f>
        <v>42464</v>
      </c>
      <c r="D17" s="30">
        <f>WORKDAY(D18,$A17,$AM$41:$AM$70)</f>
        <v>42467</v>
      </c>
      <c r="E17" s="30">
        <f>WORKDAY(E18,$A17,$AM$41:$AM$70)</f>
        <v>42466</v>
      </c>
      <c r="F17" s="28">
        <f>WORKDAY(F18,$A17,$AM$41:$AM$70)</f>
        <v>42475</v>
      </c>
      <c r="G17" s="30">
        <f>WORKDAY(G18,$A17,$AM$41:$AM$70)</f>
        <v>42487</v>
      </c>
      <c r="H17" s="30">
        <f>WORKDAY(H18,$A17,$AM$41:$AM$70)</f>
        <v>42502</v>
      </c>
      <c r="I17" s="30">
        <f>WORKDAY(I18,$A17,$AM$41:$AM$70)</f>
        <v>42487</v>
      </c>
      <c r="J17" s="30">
        <f>WORKDAY(J18,$A17,$AM$41:$AM$70)</f>
        <v>42487</v>
      </c>
      <c r="K17" s="30">
        <f>WORKDAY(K18,$A17,$AM$41:$AM$70)</f>
        <v>42487</v>
      </c>
      <c r="L17" s="30">
        <f>WORKDAY(L18,$A17,$AM$41:$AM$70)</f>
        <v>42510</v>
      </c>
      <c r="M17" s="30">
        <f>WORKDAY(M18,$A17,$AM$41:$AM$70)</f>
        <v>42510</v>
      </c>
      <c r="N17" s="30">
        <f>WORKDAY(N18,$A17,$AM$41:$AM$70)</f>
        <v>42513</v>
      </c>
      <c r="O17" s="30">
        <f>WORKDAY(O18,$A17,$AM$41:$AM$70)</f>
        <v>42473</v>
      </c>
      <c r="P17" s="30">
        <f>WORKDAY(P18,$A17,$AM$41:$AM$70)</f>
        <v>42471</v>
      </c>
      <c r="Q17" s="30">
        <f>WORKDAY(Q18,$A17,$AM$41:$AM$70)</f>
        <v>42437</v>
      </c>
      <c r="R17" s="30">
        <f>WORKDAY(R18,$A17,$AM$41:$AM$70)</f>
        <v>42487</v>
      </c>
      <c r="S17" s="30">
        <f>WORKDAY(S18,$A17,$AM$41:$AM$70)</f>
        <v>42487</v>
      </c>
      <c r="T17" s="28">
        <f>WORKDAY(T18,$A17,$AM$41:$AM$70)</f>
        <v>42475</v>
      </c>
      <c r="U17" s="30">
        <f>WORKDAY(U18,$A17,$AM$41:$AM$70)</f>
        <v>42487</v>
      </c>
      <c r="V17" s="30">
        <f>WORKDAY(V18,$A17,$AM$41:$AM$70)</f>
        <v>42513</v>
      </c>
      <c r="W17" s="30">
        <f>WORKDAY(W18,$A17,$AM$41:$AM$70)</f>
        <v>42513</v>
      </c>
      <c r="X17" s="30">
        <f>WORKDAY(X18,$A17,$AM$41:$AM$70)</f>
        <v>42513</v>
      </c>
      <c r="Y17" s="30">
        <f>WORKDAY(Y18,$A17,$AM$41:$AM$70)</f>
        <v>42487</v>
      </c>
      <c r="Z17" s="30">
        <f>WORKDAY(Z18,$A17,$AM$41:$AM$70)</f>
        <v>42487</v>
      </c>
      <c r="AA17" s="30">
        <f>WORKDAY(AA18,$A17,$AM$41:$AM$70)</f>
        <v>42513</v>
      </c>
      <c r="AB17" s="30">
        <f>WORKDAY(AB18,$A17,$AM$41:$AM$70)</f>
        <v>42485</v>
      </c>
      <c r="AC17" s="30">
        <f>WORKDAY(AC18,$A17,$AM$41:$AM$70)</f>
        <v>42500</v>
      </c>
      <c r="AD17" s="30">
        <f>WORKDAY(AD18,$A17,$AM$41:$AM$70)</f>
        <v>42513</v>
      </c>
      <c r="AE17" s="28">
        <f>WORKDAY(AE18,$A17,$AM$41:$AM$70)</f>
        <v>42513</v>
      </c>
      <c r="AF17" s="28">
        <f>WORKDAY(AF18,$A17,$AM$41:$AM$70)</f>
        <v>42501</v>
      </c>
      <c r="AG17" s="28">
        <f>WORKDAY(AG18,$A17,$AM$41:$AM$70)</f>
        <v>42501</v>
      </c>
      <c r="AH17" s="28">
        <f>WORKDAY(AH18,$A17,$AM$41:$AM$70)</f>
        <v>42501</v>
      </c>
      <c r="AI17" s="28">
        <f>WORKDAY(AI18,$A17,$AM$41:$AM$70)</f>
        <v>42513</v>
      </c>
      <c r="AJ17" s="28">
        <f>WORKDAY(AJ18,$A17,$AM$41:$AM$70)</f>
        <v>42466</v>
      </c>
      <c r="AK17" s="30">
        <v>42432</v>
      </c>
      <c r="AL17" s="30">
        <v>42430</v>
      </c>
      <c r="AM17" s="30">
        <f>WORKDAY(AM18,$A17,$AM$41:$AM$70)</f>
        <v>42447</v>
      </c>
      <c r="AN17" s="30">
        <v>42446</v>
      </c>
      <c r="AO17" s="28">
        <f>WORKDAY(AO18,$A17,$AM$41:$AM$70)</f>
        <v>42478</v>
      </c>
      <c r="AP17" s="28">
        <f>WORKDAY(AP18,$A17,$AM$41:$AM$70)</f>
        <v>42513</v>
      </c>
      <c r="AQ17" s="28">
        <f>WORKDAY(AQ18,$A17,$AM$41:$AM$70)</f>
        <v>42513</v>
      </c>
      <c r="AR17" s="28">
        <f>WORKDAY(AR18,$A17,$AM$41:$AM$70)</f>
        <v>42485</v>
      </c>
      <c r="AS17" s="28">
        <f>WORKDAY(AS18,$A17,$AM$41:$AM$70)</f>
        <v>42487</v>
      </c>
      <c r="AT17" s="28">
        <f>WORKDAY(AT18,$A17,$AM$41:$AM$70)</f>
        <v>42481</v>
      </c>
      <c r="AU17" s="28">
        <f>WORKDAY(AU18,$A17,$AM$41:$AM$70)</f>
        <v>42513</v>
      </c>
      <c r="AV17" s="28">
        <f>WORKDAY(AV18,$A17,$AM$41:$AM$70)</f>
        <v>42486</v>
      </c>
      <c r="AW17" s="28">
        <f>WORKDAY(AW18,$A17,$AM$41:$AM$70)</f>
        <v>42487</v>
      </c>
      <c r="AX17" s="28">
        <f>WORKDAY(AX18,$A17,$AM$41:$AM$70)</f>
        <v>42487</v>
      </c>
      <c r="AY17" s="28">
        <f>WORKDAY(AY18,$A17,$AM$41:$AM$70)</f>
        <v>42466</v>
      </c>
      <c r="AZ17" s="28">
        <f>WORKDAY(AZ18,$A17,$AM$41:$AM$70)</f>
        <v>42438</v>
      </c>
      <c r="BA17" s="28">
        <f>WORKDAY(BA18,$A17,$AM$41:$AM$70)</f>
        <v>42475</v>
      </c>
      <c r="BB17" s="28">
        <f>WORKDAY(BB18,$A17,$AM$41:$AM$70)</f>
        <v>42458</v>
      </c>
      <c r="BC17" s="28">
        <f>WORKDAY(BC18,$A17,$AM$41:$AM$70)</f>
        <v>42487</v>
      </c>
      <c r="BD17" s="28">
        <f>WORKDAY(BD18,$A17,$AM$41:$AM$70)</f>
        <v>42513</v>
      </c>
      <c r="BE17" s="28">
        <f>WORKDAY(BE18,$A17,$AM$41:$AM$70)</f>
        <v>42513</v>
      </c>
      <c r="BF17" s="28">
        <f>WORKDAY(BF18,$A17,$AM$41:$AM$70)</f>
        <v>42513</v>
      </c>
      <c r="BG17" s="28">
        <f>WORKDAY(BG18,$A17,$AM$41:$AM$70)</f>
        <v>42513</v>
      </c>
      <c r="BH17" s="28">
        <f>WORKDAY(BH18,$A17,$AM$41:$AM$70)</f>
        <v>42513</v>
      </c>
      <c r="BI17" s="28">
        <f>WORKDAY(BI18,$A17,$AM$41:$AM$70)</f>
        <v>42513</v>
      </c>
      <c r="BJ17" s="28">
        <f>WORKDAY(BJ18,$A17,$AM$41:$AM$70)</f>
        <v>42513</v>
      </c>
      <c r="BK17" s="28">
        <f>WORKDAY(BK18,$A17,$AM$41:$AM$70)</f>
        <v>42513</v>
      </c>
      <c r="BL17" s="28">
        <f>WORKDAY(BL18,$A17,$AM$41:$AM$70)</f>
        <v>42513</v>
      </c>
      <c r="BM17" s="28">
        <f>WORKDAY(BM18,$A17,$AM$41:$AM$70)</f>
        <v>42513</v>
      </c>
      <c r="BN17" s="28">
        <f>WORKDAY(BN18,$A17,$AM$41:$AM$70)</f>
        <v>42513</v>
      </c>
      <c r="BO17" s="28">
        <f>WORKDAY(BO18,$A17,$AM$41:$AM$70)</f>
        <v>19</v>
      </c>
      <c r="BP17" s="28">
        <f>WORKDAY(BP18,$A17,$AM$41:$AM$70)</f>
        <v>19</v>
      </c>
      <c r="BQ17" s="28">
        <f>WORKDAY(BQ18,$A17,$AM$41:$AM$70)</f>
        <v>19</v>
      </c>
      <c r="BR17" s="28">
        <f>WORKDAY(BR18,$A17,$AM$41:$AM$70)</f>
        <v>19</v>
      </c>
      <c r="BS17" s="28">
        <f>WORKDAY(BS18,$A17,$AM$41:$AM$70)</f>
        <v>19</v>
      </c>
      <c r="BT17" s="28">
        <f>WORKDAY(BT18,$A17,$AM$41:$AM$70)</f>
        <v>19</v>
      </c>
      <c r="BU17" s="28">
        <f>WORKDAY(BU18,$A17,$AM$41:$AM$70)</f>
        <v>19</v>
      </c>
      <c r="BV17" s="28">
        <f>WORKDAY(BV18,$A17,$AM$41:$AM$70)</f>
        <v>19</v>
      </c>
      <c r="BW17" s="28">
        <f>WORKDAY(BW18,$A17,$AM$41:$AM$70)</f>
        <v>19</v>
      </c>
      <c r="BX17" s="28">
        <f>WORKDAY(BX18,$A17,$AM$41:$AM$70)</f>
        <v>19</v>
      </c>
      <c r="BY17" s="28">
        <f>WORKDAY(BY18,$A17,$AM$41:$AM$70)</f>
        <v>19</v>
      </c>
      <c r="BZ17" s="28">
        <f>WORKDAY(BZ18,$A17,$AM$41:$AM$70)</f>
        <v>19</v>
      </c>
      <c r="CA17" s="28">
        <f>WORKDAY(CA18,$A17,$AM$41:$AM$70)</f>
        <v>19</v>
      </c>
      <c r="CB17" s="28">
        <f>WORKDAY(CB18,$A17,$AM$41:$AM$70)</f>
        <v>19</v>
      </c>
      <c r="CC17" s="28">
        <f>WORKDAY(CC18,$A17,$AM$41:$AM$70)</f>
        <v>19</v>
      </c>
      <c r="CD17" s="28">
        <f>WORKDAY(CD18,$A17,$AM$41:$AM$70)</f>
        <v>19</v>
      </c>
      <c r="CE17" s="28">
        <f>WORKDAY(CE18,$A17,$AM$41:$AM$70)</f>
        <v>19</v>
      </c>
      <c r="CF17" s="28">
        <f>WORKDAY(CF18,$A17,$AM$41:$AM$70)</f>
        <v>19</v>
      </c>
      <c r="CG17" s="28">
        <f>WORKDAY(CG18,$A17,$AM$41:$AM$70)</f>
        <v>19</v>
      </c>
      <c r="CH17" s="28">
        <f>WORKDAY(CH18,$A17,$AM$41:$AM$70)</f>
        <v>19</v>
      </c>
      <c r="CI17" s="28">
        <f>WORKDAY(CI18,$A17,$AM$41:$AM$70)</f>
        <v>19</v>
      </c>
      <c r="CJ17" s="28">
        <f>WORKDAY(CJ18,$A17,$AM$41:$AM$70)</f>
        <v>19</v>
      </c>
      <c r="CK17" s="28">
        <f>WORKDAY(CK18,$A17,$AM$41:$AM$70)</f>
        <v>19</v>
      </c>
      <c r="CL17" s="28">
        <f>WORKDAY(CL18,$A17,$AM$41:$AM$70)</f>
        <v>19</v>
      </c>
      <c r="CM17" s="28">
        <f>WORKDAY(CM18,$A17,$AM$41:$AM$70)</f>
        <v>19</v>
      </c>
      <c r="CN17" s="28">
        <f>WORKDAY(CN18,$A17,$AM$41:$AM$70)</f>
        <v>19</v>
      </c>
      <c r="CO17" s="28">
        <f>WORKDAY(CO18,$A17,$AM$41:$AM$70)</f>
        <v>19</v>
      </c>
      <c r="CP17" s="28">
        <f>WORKDAY(CP18,$A17,$AM$41:$AM$70)</f>
        <v>19</v>
      </c>
      <c r="CQ17" s="28">
        <f>WORKDAY(CQ18,$A17,$AM$41:$AM$70)</f>
        <v>19</v>
      </c>
      <c r="CR17" s="28">
        <f>WORKDAY(CR18,$A17,$AM$41:$AM$70)</f>
        <v>19</v>
      </c>
      <c r="CS17" s="28">
        <f>WORKDAY(CS18,$A17,$AM$41:$AM$70)</f>
        <v>19</v>
      </c>
      <c r="CT17" s="28">
        <f>WORKDAY(CT18,$A17,$AM$41:$AM$70)</f>
        <v>19</v>
      </c>
      <c r="CU17" s="28">
        <f>WORKDAY(CU18,$A17,$AM$41:$AM$70)</f>
        <v>19</v>
      </c>
      <c r="CV17" s="28">
        <f>WORKDAY(CV18,$A17,$AM$41:$AM$70)</f>
        <v>19</v>
      </c>
      <c r="CW17" s="28">
        <f>WORKDAY(CW18,$A17,$AM$41:$AM$70)</f>
        <v>19</v>
      </c>
      <c r="CX17" s="28">
        <f>WORKDAY(CX18,$A17,$AM$41:$AM$70)</f>
        <v>19</v>
      </c>
      <c r="CY17" s="28">
        <f>WORKDAY(CY18,$A17,$AM$41:$AM$70)</f>
        <v>19</v>
      </c>
      <c r="CZ17" s="28">
        <f>WORKDAY(CZ18,$A17,$AM$41:$AM$70)</f>
        <v>19</v>
      </c>
      <c r="DA17" s="28">
        <f>WORKDAY(DA18,$A17,$AM$41:$AM$70)</f>
        <v>19</v>
      </c>
      <c r="DB17" s="28">
        <f>WORKDAY(DB18,$A17,$AM$41:$AM$70)</f>
        <v>19</v>
      </c>
      <c r="DC17" s="28">
        <f>WORKDAY(DC18,$A17,$AM$41:$AM$70)</f>
        <v>19</v>
      </c>
      <c r="DD17" s="28">
        <f>WORKDAY(DD18,$A17,$AM$41:$AM$70)</f>
        <v>19</v>
      </c>
      <c r="DE17" s="28">
        <f>WORKDAY(DE18,$A17,$AM$41:$AM$70)</f>
        <v>19</v>
      </c>
    </row>
    <row r="18" spans="1:109" ht="12.6" customHeight="1" x14ac:dyDescent="0.2">
      <c r="A18" s="26">
        <v>2</v>
      </c>
      <c r="B18" s="31" t="s">
        <v>17</v>
      </c>
      <c r="C18" s="30">
        <f>WORKDAY(C19,$A18,$AM$41:$AM$70)</f>
        <v>42464</v>
      </c>
      <c r="D18" s="30">
        <f>WORKDAY(D19,$A18,$AM$41:$AM$70)</f>
        <v>42467</v>
      </c>
      <c r="E18" s="30">
        <f>WORKDAY(E19,$A18,$AM$41:$AM$70)</f>
        <v>42466</v>
      </c>
      <c r="F18" s="30">
        <v>42475</v>
      </c>
      <c r="G18" s="30">
        <f>WORKDAY(G19,$A18,$AM$41:$AM$70)</f>
        <v>42487</v>
      </c>
      <c r="H18" s="30">
        <f>WORKDAY(H19,$A18,$AM$41:$AM$70)</f>
        <v>42502</v>
      </c>
      <c r="I18" s="30">
        <f>WORKDAY(I19,$A18,$AM$41:$AM$70)</f>
        <v>42487</v>
      </c>
      <c r="J18" s="30">
        <f>WORKDAY(J19,$A18,$AM$41:$AM$70)</f>
        <v>42487</v>
      </c>
      <c r="K18" s="30">
        <f>WORKDAY(K19,$A18,$AM$41:$AM$70)</f>
        <v>42487</v>
      </c>
      <c r="L18" s="30">
        <f>WORKDAY(L19,$A18,$AM$41:$AM$70)</f>
        <v>42510</v>
      </c>
      <c r="M18" s="30">
        <f>WORKDAY(M19,$A18,$AM$41:$AM$70)</f>
        <v>42510</v>
      </c>
      <c r="N18" s="30">
        <f>WORKDAY(N19,$A18,$AM$41:$AM$70)</f>
        <v>42513</v>
      </c>
      <c r="O18" s="30">
        <f>WORKDAY(O19,$A18,$AM$41:$AM$70)</f>
        <v>42473</v>
      </c>
      <c r="P18" s="30">
        <f>WORKDAY(P19,$A18,$AM$41:$AM$70)</f>
        <v>42471</v>
      </c>
      <c r="Q18" s="30">
        <f>WORKDAY(Q19,$A18,$AM$41:$AM$70)</f>
        <v>42437</v>
      </c>
      <c r="R18" s="30">
        <f>WORKDAY(R19,$A18,$AM$41:$AM$70)</f>
        <v>42487</v>
      </c>
      <c r="S18" s="30">
        <f>WORKDAY(S19,$A18,$AM$41:$AM$70)</f>
        <v>42487</v>
      </c>
      <c r="T18" s="30">
        <v>42475</v>
      </c>
      <c r="U18" s="30">
        <f>WORKDAY(U19,$A18,$AM$41:$AM$70)</f>
        <v>42487</v>
      </c>
      <c r="V18" s="30">
        <f>WORKDAY(V19,$A18,$AM$41:$AM$70)</f>
        <v>42513</v>
      </c>
      <c r="W18" s="30">
        <f>WORKDAY(W19,$A18,$AM$41:$AM$70)</f>
        <v>42513</v>
      </c>
      <c r="X18" s="30">
        <f>WORKDAY(X19,$A18,$AM$41:$AM$70)</f>
        <v>42513</v>
      </c>
      <c r="Y18" s="30">
        <f>WORKDAY(Y19,$A18,$AM$41:$AM$70)</f>
        <v>42487</v>
      </c>
      <c r="Z18" s="30">
        <f>WORKDAY(Z19,$A18,$AM$41:$AM$70)</f>
        <v>42487</v>
      </c>
      <c r="AA18" s="30">
        <f>WORKDAY(AA19,$A18,$AM$41:$AM$70)</f>
        <v>42513</v>
      </c>
      <c r="AB18" s="30">
        <f>WORKDAY(AB19,$A18,$AM$41:$AM$70)</f>
        <v>42485</v>
      </c>
      <c r="AC18" s="30">
        <f>WORKDAY(AC19,$A18,$AM$41:$AM$70)</f>
        <v>42500</v>
      </c>
      <c r="AD18" s="30">
        <f>WORKDAY(AD19,$A18,$AM$41:$AM$70)</f>
        <v>42513</v>
      </c>
      <c r="AE18" s="28">
        <f>WORKDAY(AE19,$A18,$AM$41:$AM$70)</f>
        <v>42513</v>
      </c>
      <c r="AF18" s="28">
        <f>WORKDAY(AF19,$A18,$AM$41:$AM$70)</f>
        <v>42501</v>
      </c>
      <c r="AG18" s="28">
        <f>WORKDAY(AG19,$A18,$AM$41:$AM$70)</f>
        <v>42501</v>
      </c>
      <c r="AH18" s="28">
        <f>WORKDAY(AH19,$A18,$AM$41:$AM$70)</f>
        <v>42501</v>
      </c>
      <c r="AI18" s="28">
        <f>WORKDAY(AI19,$A18,$AM$41:$AM$70)</f>
        <v>42513</v>
      </c>
      <c r="AJ18" s="28">
        <f>WORKDAY(AJ19,$A18,$AM$41:$AM$70)</f>
        <v>42466</v>
      </c>
      <c r="AK18" s="30">
        <v>42430</v>
      </c>
      <c r="AL18" s="30">
        <f>WORKDAY(AL19,$A18,$AM$41:$AM$70)</f>
        <v>42432</v>
      </c>
      <c r="AM18" s="30">
        <f>WORKDAY(AM19,$A18,$AM$41:$AM$70)</f>
        <v>42447</v>
      </c>
      <c r="AN18" s="30">
        <v>42446</v>
      </c>
      <c r="AO18" s="28">
        <f>WORKDAY(AO19,$A18,$AM$41:$AM$70)</f>
        <v>42478</v>
      </c>
      <c r="AP18" s="28">
        <f>WORKDAY(AP19,$A18,$AM$41:$AM$70)</f>
        <v>42513</v>
      </c>
      <c r="AQ18" s="28">
        <f>WORKDAY(AQ19,$A18,$AM$41:$AM$70)</f>
        <v>42513</v>
      </c>
      <c r="AR18" s="28">
        <f>WORKDAY(AR19,$A18,$AM$41:$AM$70)</f>
        <v>42485</v>
      </c>
      <c r="AS18" s="28">
        <f>WORKDAY(AS19,$A18,$AM$41:$AM$70)</f>
        <v>42487</v>
      </c>
      <c r="AT18" s="28">
        <f>WORKDAY(AT19,$A18,$AM$41:$AM$70)</f>
        <v>42481</v>
      </c>
      <c r="AU18" s="28">
        <f>WORKDAY(AU19,$A18,$AM$41:$AM$70)</f>
        <v>42513</v>
      </c>
      <c r="AV18" s="28">
        <f>WORKDAY(AV19,$A18,$AM$41:$AM$70)</f>
        <v>42486</v>
      </c>
      <c r="AW18" s="28">
        <f>WORKDAY(AW19,$A18,$AM$41:$AM$70)</f>
        <v>42487</v>
      </c>
      <c r="AX18" s="28">
        <f>WORKDAY(AX19,$A18,$AM$41:$AM$70)</f>
        <v>42487</v>
      </c>
      <c r="AY18" s="28">
        <f>WORKDAY(AY19,$A18,$AM$41:$AM$70)</f>
        <v>42466</v>
      </c>
      <c r="AZ18" s="28">
        <f>WORKDAY(AZ19,$A18,$AM$41:$AM$70)</f>
        <v>42438</v>
      </c>
      <c r="BA18" s="28">
        <f>WORKDAY(BA19,$A18,$AM$41:$AM$70)</f>
        <v>42475</v>
      </c>
      <c r="BB18" s="28">
        <f>WORKDAY(BB19,$A18,$AM$41:$AM$70)</f>
        <v>42458</v>
      </c>
      <c r="BC18" s="28">
        <f>WORKDAY(BC19,$A18,$AM$41:$AM$70)</f>
        <v>42487</v>
      </c>
      <c r="BD18" s="28">
        <f>WORKDAY(BD19,$A18,$AM$41:$AM$70)</f>
        <v>42513</v>
      </c>
      <c r="BE18" s="28">
        <f>WORKDAY(BE19,$A18,$AM$41:$AM$70)</f>
        <v>42513</v>
      </c>
      <c r="BF18" s="28">
        <f>WORKDAY(BF19,$A18,$AM$41:$AM$70)</f>
        <v>42513</v>
      </c>
      <c r="BG18" s="28">
        <f>WORKDAY(BG19,$A18,$AM$41:$AM$70)</f>
        <v>42513</v>
      </c>
      <c r="BH18" s="28">
        <f>WORKDAY(BH19,$A18,$AM$41:$AM$70)</f>
        <v>42513</v>
      </c>
      <c r="BI18" s="28">
        <f>WORKDAY(BI19,$A18,$AM$41:$AM$70)</f>
        <v>42513</v>
      </c>
      <c r="BJ18" s="28">
        <f>WORKDAY(BJ19,$A18,$AM$41:$AM$70)</f>
        <v>42513</v>
      </c>
      <c r="BK18" s="28">
        <f>WORKDAY(BK19,$A18,$AM$41:$AM$70)</f>
        <v>42513</v>
      </c>
      <c r="BL18" s="28">
        <f>WORKDAY(BL19,$A18,$AM$41:$AM$70)</f>
        <v>42513</v>
      </c>
      <c r="BM18" s="28">
        <f>WORKDAY(BM19,$A18,$AM$41:$AM$70)</f>
        <v>42513</v>
      </c>
      <c r="BN18" s="28">
        <f>WORKDAY(BN19,$A18,$AM$41:$AM$70)</f>
        <v>42513</v>
      </c>
      <c r="BO18" s="28">
        <f>WORKDAY(BO19,$A18,$AM$41:$AM$70)</f>
        <v>19</v>
      </c>
      <c r="BP18" s="28">
        <f>WORKDAY(BP19,$A18,$AM$41:$AM$70)</f>
        <v>19</v>
      </c>
      <c r="BQ18" s="28">
        <f>WORKDAY(BQ19,$A18,$AM$41:$AM$70)</f>
        <v>19</v>
      </c>
      <c r="BR18" s="28">
        <f>WORKDAY(BR19,$A18,$AM$41:$AM$70)</f>
        <v>19</v>
      </c>
      <c r="BS18" s="28">
        <f>WORKDAY(BS19,$A18,$AM$41:$AM$70)</f>
        <v>19</v>
      </c>
      <c r="BT18" s="28">
        <f>WORKDAY(BT19,$A18,$AM$41:$AM$70)</f>
        <v>19</v>
      </c>
      <c r="BU18" s="28">
        <f>WORKDAY(BU19,$A18,$AM$41:$AM$70)</f>
        <v>19</v>
      </c>
      <c r="BV18" s="28">
        <f>WORKDAY(BV19,$A18,$AM$41:$AM$70)</f>
        <v>19</v>
      </c>
      <c r="BW18" s="28">
        <f>WORKDAY(BW19,$A18,$AM$41:$AM$70)</f>
        <v>19</v>
      </c>
      <c r="BX18" s="28">
        <f>WORKDAY(BX19,$A18,$AM$41:$AM$70)</f>
        <v>19</v>
      </c>
      <c r="BY18" s="28">
        <f>WORKDAY(BY19,$A18,$AM$41:$AM$70)</f>
        <v>19</v>
      </c>
      <c r="BZ18" s="28">
        <f>WORKDAY(BZ19,$A18,$AM$41:$AM$70)</f>
        <v>19</v>
      </c>
      <c r="CA18" s="28">
        <f>WORKDAY(CA19,$A18,$AM$41:$AM$70)</f>
        <v>19</v>
      </c>
      <c r="CB18" s="28">
        <f>WORKDAY(CB19,$A18,$AM$41:$AM$70)</f>
        <v>19</v>
      </c>
      <c r="CC18" s="28">
        <f>WORKDAY(CC19,$A18,$AM$41:$AM$70)</f>
        <v>19</v>
      </c>
      <c r="CD18" s="28">
        <f>WORKDAY(CD19,$A18,$AM$41:$AM$70)</f>
        <v>19</v>
      </c>
      <c r="CE18" s="28">
        <f>WORKDAY(CE19,$A18,$AM$41:$AM$70)</f>
        <v>19</v>
      </c>
      <c r="CF18" s="28">
        <f>WORKDAY(CF19,$A18,$AM$41:$AM$70)</f>
        <v>19</v>
      </c>
      <c r="CG18" s="28">
        <f>WORKDAY(CG19,$A18,$AM$41:$AM$70)</f>
        <v>19</v>
      </c>
      <c r="CH18" s="28">
        <f>WORKDAY(CH19,$A18,$AM$41:$AM$70)</f>
        <v>19</v>
      </c>
      <c r="CI18" s="28">
        <f>WORKDAY(CI19,$A18,$AM$41:$AM$70)</f>
        <v>19</v>
      </c>
      <c r="CJ18" s="28">
        <f>WORKDAY(CJ19,$A18,$AM$41:$AM$70)</f>
        <v>19</v>
      </c>
      <c r="CK18" s="28">
        <f>WORKDAY(CK19,$A18,$AM$41:$AM$70)</f>
        <v>19</v>
      </c>
      <c r="CL18" s="28">
        <f>WORKDAY(CL19,$A18,$AM$41:$AM$70)</f>
        <v>19</v>
      </c>
      <c r="CM18" s="28">
        <f>WORKDAY(CM19,$A18,$AM$41:$AM$70)</f>
        <v>19</v>
      </c>
      <c r="CN18" s="28">
        <f>WORKDAY(CN19,$A18,$AM$41:$AM$70)</f>
        <v>19</v>
      </c>
      <c r="CO18" s="28">
        <f>WORKDAY(CO19,$A18,$AM$41:$AM$70)</f>
        <v>19</v>
      </c>
      <c r="CP18" s="28">
        <f>WORKDAY(CP19,$A18,$AM$41:$AM$70)</f>
        <v>19</v>
      </c>
      <c r="CQ18" s="28">
        <f>WORKDAY(CQ19,$A18,$AM$41:$AM$70)</f>
        <v>19</v>
      </c>
      <c r="CR18" s="28">
        <f>WORKDAY(CR19,$A18,$AM$41:$AM$70)</f>
        <v>19</v>
      </c>
      <c r="CS18" s="28">
        <f>WORKDAY(CS19,$A18,$AM$41:$AM$70)</f>
        <v>19</v>
      </c>
      <c r="CT18" s="28">
        <f>WORKDAY(CT19,$A18,$AM$41:$AM$70)</f>
        <v>19</v>
      </c>
      <c r="CU18" s="28">
        <f>WORKDAY(CU19,$A18,$AM$41:$AM$70)</f>
        <v>19</v>
      </c>
      <c r="CV18" s="28">
        <f>WORKDAY(CV19,$A18,$AM$41:$AM$70)</f>
        <v>19</v>
      </c>
      <c r="CW18" s="28">
        <f>WORKDAY(CW19,$A18,$AM$41:$AM$70)</f>
        <v>19</v>
      </c>
      <c r="CX18" s="28">
        <f>WORKDAY(CX19,$A18,$AM$41:$AM$70)</f>
        <v>19</v>
      </c>
      <c r="CY18" s="28">
        <f>WORKDAY(CY19,$A18,$AM$41:$AM$70)</f>
        <v>19</v>
      </c>
      <c r="CZ18" s="28">
        <f>WORKDAY(CZ19,$A18,$AM$41:$AM$70)</f>
        <v>19</v>
      </c>
      <c r="DA18" s="28">
        <f>WORKDAY(DA19,$A18,$AM$41:$AM$70)</f>
        <v>19</v>
      </c>
      <c r="DB18" s="28">
        <f>WORKDAY(DB19,$A18,$AM$41:$AM$70)</f>
        <v>19</v>
      </c>
      <c r="DC18" s="28">
        <f>WORKDAY(DC19,$A18,$AM$41:$AM$70)</f>
        <v>19</v>
      </c>
      <c r="DD18" s="28">
        <f>WORKDAY(DD19,$A18,$AM$41:$AM$70)</f>
        <v>19</v>
      </c>
      <c r="DE18" s="28">
        <f>WORKDAY(DE19,$A18,$AM$41:$AM$70)</f>
        <v>19</v>
      </c>
    </row>
    <row r="19" spans="1:109" ht="12.6" customHeight="1" x14ac:dyDescent="0.2">
      <c r="A19" s="26">
        <v>2</v>
      </c>
      <c r="B19" s="27" t="s">
        <v>18</v>
      </c>
      <c r="C19" s="30">
        <f>WORKDAY(C20,$A19,$AM$41:$AM$70)</f>
        <v>42460</v>
      </c>
      <c r="D19" s="30">
        <f>WORKDAY(D20,$A19,$AM$41:$AM$70)</f>
        <v>42465</v>
      </c>
      <c r="E19" s="30">
        <f>WORKDAY(E20,$A19,$AM$41:$AM$70)</f>
        <v>42464</v>
      </c>
      <c r="F19" s="30">
        <f>WORKDAY(F20,$A19,$AM$41:$AM$70)</f>
        <v>42457</v>
      </c>
      <c r="G19" s="30">
        <f>WORKDAY(G20,$A19,$AM$41:$AM$70)</f>
        <v>42485</v>
      </c>
      <c r="H19" s="30">
        <f>WORKDAY(H20,$A19,$AM$41:$AM$70)</f>
        <v>42500</v>
      </c>
      <c r="I19" s="30">
        <f>WORKDAY(I20,$A19,$AM$41:$AM$70)</f>
        <v>42485</v>
      </c>
      <c r="J19" s="30">
        <f>WORKDAY(J20,$A19,$AM$41:$AM$70)</f>
        <v>42485</v>
      </c>
      <c r="K19" s="30">
        <f>WORKDAY(K20,$A19,$AM$41:$AM$70)</f>
        <v>42485</v>
      </c>
      <c r="L19" s="30">
        <f>WORKDAY(L20,$A19,$AM$41:$AM$70)</f>
        <v>42508</v>
      </c>
      <c r="M19" s="30">
        <f>WORKDAY(M20,$A19,$AM$41:$AM$70)</f>
        <v>42508</v>
      </c>
      <c r="N19" s="30">
        <f>WORKDAY(N20,$A19,$AM$41:$AM$70)</f>
        <v>42509</v>
      </c>
      <c r="O19" s="30">
        <f>WORKDAY(O20,$A19,$AM$41:$AM$70)</f>
        <v>42471</v>
      </c>
      <c r="P19" s="30">
        <f>WORKDAY(P20,$A19,$AM$41:$AM$70)</f>
        <v>42467</v>
      </c>
      <c r="Q19" s="30">
        <f>WORKDAY(Q20,$A19,$AM$41:$AM$70)</f>
        <v>42433</v>
      </c>
      <c r="R19" s="30">
        <f>WORKDAY(R20,$A19,$AM$41:$AM$70)</f>
        <v>42485</v>
      </c>
      <c r="S19" s="30">
        <f>WORKDAY(S20,$A19,$AM$41:$AM$70)</f>
        <v>42485</v>
      </c>
      <c r="T19" s="30">
        <f>WORKDAY(T20,$A19,$AM$41:$AM$70)</f>
        <v>42467</v>
      </c>
      <c r="U19" s="30">
        <f>WORKDAY(U20,$A19,$AM$41:$AM$70)</f>
        <v>42485</v>
      </c>
      <c r="V19" s="30">
        <f>WORKDAY(V20,$A19,$AM$41:$AM$70)</f>
        <v>42509</v>
      </c>
      <c r="W19" s="30">
        <f>WORKDAY(W20,$A19,$AM$41:$AM$70)</f>
        <v>42509</v>
      </c>
      <c r="X19" s="30">
        <f>WORKDAY(X20,$A19,$AM$41:$AM$70)</f>
        <v>42509</v>
      </c>
      <c r="Y19" s="30">
        <f>WORKDAY(Y20,$A19,$AM$41:$AM$70)</f>
        <v>42485</v>
      </c>
      <c r="Z19" s="30">
        <f>WORKDAY(Z20,$A19,$AM$41:$AM$70)</f>
        <v>42485</v>
      </c>
      <c r="AA19" s="30">
        <f>WORKDAY(AA20,$A19,$AM$41:$AM$70)</f>
        <v>42509</v>
      </c>
      <c r="AB19" s="30">
        <f>WORKDAY(AB20,$A19,$AM$41:$AM$70)</f>
        <v>42481</v>
      </c>
      <c r="AC19" s="30">
        <f>WORKDAY(AC20,$A19,$AM$41:$AM$70)</f>
        <v>42496</v>
      </c>
      <c r="AD19" s="30">
        <f>WORKDAY(AD20,$A19,$AM$41:$AM$70)</f>
        <v>42509</v>
      </c>
      <c r="AE19" s="28">
        <f>WORKDAY(AE20,$A19,$AM$41:$AM$70)</f>
        <v>42509</v>
      </c>
      <c r="AF19" s="28">
        <f>WORKDAY(AF20,$A19,$AM$41:$AM$70)</f>
        <v>42499</v>
      </c>
      <c r="AG19" s="28">
        <f>WORKDAY(AG20,$A19,$AM$41:$AM$70)</f>
        <v>42499</v>
      </c>
      <c r="AH19" s="28">
        <f>WORKDAY(AH20,$A19,$AM$41:$AM$70)</f>
        <v>42499</v>
      </c>
      <c r="AI19" s="28">
        <f>WORKDAY(AI20,$A19,$AM$41:$AM$70)</f>
        <v>42509</v>
      </c>
      <c r="AJ19" s="28">
        <f>WORKDAY(AJ20,$A19,$AM$41:$AM$70)</f>
        <v>42464</v>
      </c>
      <c r="AK19" s="30">
        <f>WORKDAY(AK20,$A19,$AM$41:$AM$70)</f>
        <v>42436</v>
      </c>
      <c r="AL19" s="30">
        <v>42430</v>
      </c>
      <c r="AM19" s="30">
        <f>WORKDAY(AM20,$A19,$AM$41:$AM$70)</f>
        <v>42445</v>
      </c>
      <c r="AN19" s="30">
        <v>42446</v>
      </c>
      <c r="AO19" s="28">
        <f>WORKDAY(AO20,$A19,$AM$41:$AM$70)</f>
        <v>42474</v>
      </c>
      <c r="AP19" s="28">
        <f>WORKDAY(AP20,$A19,$AM$41:$AM$70)</f>
        <v>42509</v>
      </c>
      <c r="AQ19" s="28">
        <f>WORKDAY(AQ20,$A19,$AM$41:$AM$70)</f>
        <v>42509</v>
      </c>
      <c r="AR19" s="28">
        <f>WORKDAY(AR20,$A19,$AM$41:$AM$70)</f>
        <v>42481</v>
      </c>
      <c r="AS19" s="28">
        <f>WORKDAY(AS20,$A19,$AM$41:$AM$70)</f>
        <v>42485</v>
      </c>
      <c r="AT19" s="28">
        <f>WORKDAY(AT20,$A19,$AM$41:$AM$70)</f>
        <v>42479</v>
      </c>
      <c r="AU19" s="28">
        <f>WORKDAY(AU20,$A19,$AM$41:$AM$70)</f>
        <v>42509</v>
      </c>
      <c r="AV19" s="28">
        <f>WORKDAY(AV20,$A19,$AM$41:$AM$70)</f>
        <v>42482</v>
      </c>
      <c r="AW19" s="28">
        <f>WORKDAY(AW20,$A19,$AM$41:$AM$70)</f>
        <v>42485</v>
      </c>
      <c r="AX19" s="28">
        <f>WORKDAY(AX20,$A19,$AM$41:$AM$70)</f>
        <v>42485</v>
      </c>
      <c r="AY19" s="28">
        <f>WORKDAY(AY20,$A19,$AM$41:$AM$70)</f>
        <v>42464</v>
      </c>
      <c r="AZ19" s="28">
        <f>WORKDAY(AZ20,$A19,$AM$41:$AM$70)</f>
        <v>42436</v>
      </c>
      <c r="BA19" s="28">
        <f>WORKDAY(BA20,$A19,$AM$41:$AM$70)</f>
        <v>42473</v>
      </c>
      <c r="BB19" s="28">
        <f>WORKDAY(BB20,$A19,$AM$41:$AM$70)</f>
        <v>42454</v>
      </c>
      <c r="BC19" s="28">
        <f>WORKDAY(BC20,$A19,$AM$41:$AM$70)</f>
        <v>42485</v>
      </c>
      <c r="BD19" s="28">
        <f>WORKDAY(BD20,$A19,$AM$41:$AM$70)</f>
        <v>42509</v>
      </c>
      <c r="BE19" s="28">
        <f>WORKDAY(BE20,$A19,$AM$41:$AM$70)</f>
        <v>42509</v>
      </c>
      <c r="BF19" s="28">
        <f>WORKDAY(BF20,$A19,$AM$41:$AM$70)</f>
        <v>42509</v>
      </c>
      <c r="BG19" s="28">
        <f>WORKDAY(BG20,$A19,$AM$41:$AM$70)</f>
        <v>42509</v>
      </c>
      <c r="BH19" s="28">
        <f>WORKDAY(BH20,$A19,$AM$41:$AM$70)</f>
        <v>42509</v>
      </c>
      <c r="BI19" s="28">
        <f>WORKDAY(BI20,$A19,$AM$41:$AM$70)</f>
        <v>42509</v>
      </c>
      <c r="BJ19" s="28">
        <f>WORKDAY(BJ20,$A19,$AM$41:$AM$70)</f>
        <v>42509</v>
      </c>
      <c r="BK19" s="28">
        <f>WORKDAY(BK20,$A19,$AM$41:$AM$70)</f>
        <v>42509</v>
      </c>
      <c r="BL19" s="28">
        <f>WORKDAY(BL20,$A19,$AM$41:$AM$70)</f>
        <v>42509</v>
      </c>
      <c r="BM19" s="28">
        <f>WORKDAY(BM20,$A19,$AM$41:$AM$70)</f>
        <v>42509</v>
      </c>
      <c r="BN19" s="28">
        <f>WORKDAY(BN20,$A19,$AM$41:$AM$70)</f>
        <v>42509</v>
      </c>
      <c r="BO19" s="28">
        <f>WORKDAY(BO20,$A19,$AM$41:$AM$70)</f>
        <v>17</v>
      </c>
      <c r="BP19" s="28">
        <f>WORKDAY(BP20,$A19,$AM$41:$AM$70)</f>
        <v>17</v>
      </c>
      <c r="BQ19" s="28">
        <f>WORKDAY(BQ20,$A19,$AM$41:$AM$70)</f>
        <v>17</v>
      </c>
      <c r="BR19" s="28">
        <f>WORKDAY(BR20,$A19,$AM$41:$AM$70)</f>
        <v>17</v>
      </c>
      <c r="BS19" s="28">
        <f>WORKDAY(BS20,$A19,$AM$41:$AM$70)</f>
        <v>17</v>
      </c>
      <c r="BT19" s="28">
        <f>WORKDAY(BT20,$A19,$AM$41:$AM$70)</f>
        <v>17</v>
      </c>
      <c r="BU19" s="28">
        <f>WORKDAY(BU20,$A19,$AM$41:$AM$70)</f>
        <v>17</v>
      </c>
      <c r="BV19" s="28">
        <f>WORKDAY(BV20,$A19,$AM$41:$AM$70)</f>
        <v>17</v>
      </c>
      <c r="BW19" s="28">
        <f>WORKDAY(BW20,$A19,$AM$41:$AM$70)</f>
        <v>17</v>
      </c>
      <c r="BX19" s="28">
        <f>WORKDAY(BX20,$A19,$AM$41:$AM$70)</f>
        <v>17</v>
      </c>
      <c r="BY19" s="28">
        <f>WORKDAY(BY20,$A19,$AM$41:$AM$70)</f>
        <v>17</v>
      </c>
      <c r="BZ19" s="28">
        <f>WORKDAY(BZ20,$A19,$AM$41:$AM$70)</f>
        <v>17</v>
      </c>
      <c r="CA19" s="28">
        <f>WORKDAY(CA20,$A19,$AM$41:$AM$70)</f>
        <v>17</v>
      </c>
      <c r="CB19" s="28">
        <f>WORKDAY(CB20,$A19,$AM$41:$AM$70)</f>
        <v>17</v>
      </c>
      <c r="CC19" s="28">
        <f>WORKDAY(CC20,$A19,$AM$41:$AM$70)</f>
        <v>17</v>
      </c>
      <c r="CD19" s="28">
        <f>WORKDAY(CD20,$A19,$AM$41:$AM$70)</f>
        <v>17</v>
      </c>
      <c r="CE19" s="28">
        <f>WORKDAY(CE20,$A19,$AM$41:$AM$70)</f>
        <v>17</v>
      </c>
      <c r="CF19" s="28">
        <f>WORKDAY(CF20,$A19,$AM$41:$AM$70)</f>
        <v>17</v>
      </c>
      <c r="CG19" s="28">
        <f>WORKDAY(CG20,$A19,$AM$41:$AM$70)</f>
        <v>17</v>
      </c>
      <c r="CH19" s="28">
        <f>WORKDAY(CH20,$A19,$AM$41:$AM$70)</f>
        <v>17</v>
      </c>
      <c r="CI19" s="28">
        <f>WORKDAY(CI20,$A19,$AM$41:$AM$70)</f>
        <v>17</v>
      </c>
      <c r="CJ19" s="28">
        <f>WORKDAY(CJ20,$A19,$AM$41:$AM$70)</f>
        <v>17</v>
      </c>
      <c r="CK19" s="28">
        <f>WORKDAY(CK20,$A19,$AM$41:$AM$70)</f>
        <v>17</v>
      </c>
      <c r="CL19" s="28">
        <f>WORKDAY(CL20,$A19,$AM$41:$AM$70)</f>
        <v>17</v>
      </c>
      <c r="CM19" s="28">
        <f>WORKDAY(CM20,$A19,$AM$41:$AM$70)</f>
        <v>17</v>
      </c>
      <c r="CN19" s="28">
        <f>WORKDAY(CN20,$A19,$AM$41:$AM$70)</f>
        <v>17</v>
      </c>
      <c r="CO19" s="28">
        <f>WORKDAY(CO20,$A19,$AM$41:$AM$70)</f>
        <v>17</v>
      </c>
      <c r="CP19" s="28">
        <f>WORKDAY(CP20,$A19,$AM$41:$AM$70)</f>
        <v>17</v>
      </c>
      <c r="CQ19" s="28">
        <f>WORKDAY(CQ20,$A19,$AM$41:$AM$70)</f>
        <v>17</v>
      </c>
      <c r="CR19" s="28">
        <f>WORKDAY(CR20,$A19,$AM$41:$AM$70)</f>
        <v>17</v>
      </c>
      <c r="CS19" s="28">
        <f>WORKDAY(CS20,$A19,$AM$41:$AM$70)</f>
        <v>17</v>
      </c>
      <c r="CT19" s="28">
        <f>WORKDAY(CT20,$A19,$AM$41:$AM$70)</f>
        <v>17</v>
      </c>
      <c r="CU19" s="28">
        <f>WORKDAY(CU20,$A19,$AM$41:$AM$70)</f>
        <v>17</v>
      </c>
      <c r="CV19" s="28">
        <f>WORKDAY(CV20,$A19,$AM$41:$AM$70)</f>
        <v>17</v>
      </c>
      <c r="CW19" s="28">
        <f>WORKDAY(CW20,$A19,$AM$41:$AM$70)</f>
        <v>17</v>
      </c>
      <c r="CX19" s="28">
        <f>WORKDAY(CX20,$A19,$AM$41:$AM$70)</f>
        <v>17</v>
      </c>
      <c r="CY19" s="28">
        <f>WORKDAY(CY20,$A19,$AM$41:$AM$70)</f>
        <v>17</v>
      </c>
      <c r="CZ19" s="28">
        <f>WORKDAY(CZ20,$A19,$AM$41:$AM$70)</f>
        <v>17</v>
      </c>
      <c r="DA19" s="28">
        <f>WORKDAY(DA20,$A19,$AM$41:$AM$70)</f>
        <v>17</v>
      </c>
      <c r="DB19" s="28">
        <f>WORKDAY(DB20,$A19,$AM$41:$AM$70)</f>
        <v>17</v>
      </c>
      <c r="DC19" s="28">
        <f>WORKDAY(DC20,$A19,$AM$41:$AM$70)</f>
        <v>17</v>
      </c>
      <c r="DD19" s="28">
        <f>WORKDAY(DD20,$A19,$AM$41:$AM$70)</f>
        <v>17</v>
      </c>
      <c r="DE19" s="28">
        <f>WORKDAY(DE20,$A19,$AM$41:$AM$70)</f>
        <v>17</v>
      </c>
    </row>
    <row r="20" spans="1:109" ht="12.6" customHeight="1" x14ac:dyDescent="0.2">
      <c r="A20" s="26">
        <v>2</v>
      </c>
      <c r="B20" s="32" t="s">
        <v>19</v>
      </c>
      <c r="C20" s="30">
        <f>WORKDAY(C21,$A20,$AM$41:$AM$70)</f>
        <v>42458</v>
      </c>
      <c r="D20" s="30">
        <f>WORKDAY(D21,$A20,$AM$41:$AM$70)</f>
        <v>42461</v>
      </c>
      <c r="E20" s="30">
        <f>WORKDAY(E21,$A20,$AM$41:$AM$70)</f>
        <v>42460</v>
      </c>
      <c r="F20" s="30">
        <f>WORKDAY(F21,$A20,$AM$41:$AM$70)</f>
        <v>42453</v>
      </c>
      <c r="G20" s="30">
        <f>WORKDAY(G21,$A20,$AM$41:$AM$70)</f>
        <v>42481</v>
      </c>
      <c r="H20" s="30">
        <f>WORKDAY(H21,$A20,$AM$41:$AM$70)</f>
        <v>42496</v>
      </c>
      <c r="I20" s="30">
        <f>WORKDAY(I21,$A20,$AM$41:$AM$70)</f>
        <v>42481</v>
      </c>
      <c r="J20" s="30">
        <f>WORKDAY(J21,$A20,$AM$41:$AM$70)</f>
        <v>42481</v>
      </c>
      <c r="K20" s="30">
        <f>WORKDAY(K21,$A20,$AM$41:$AM$70)</f>
        <v>42481</v>
      </c>
      <c r="L20" s="30">
        <f>WORKDAY(L21,$A20,$AM$41:$AM$70)</f>
        <v>42506</v>
      </c>
      <c r="M20" s="30">
        <f>WORKDAY(M21,$A20,$AM$41:$AM$70)</f>
        <v>42506</v>
      </c>
      <c r="N20" s="30">
        <f>WORKDAY(N21,$A20,$AM$41:$AM$70)</f>
        <v>42507</v>
      </c>
      <c r="O20" s="30">
        <f>WORKDAY(O21,$A20,$AM$41:$AM$70)</f>
        <v>42467</v>
      </c>
      <c r="P20" s="30">
        <f>WORKDAY(P21,$A20,$AM$41:$AM$70)</f>
        <v>42465</v>
      </c>
      <c r="Q20" s="30">
        <f>WORKDAY(Q21,$A20,$AM$41:$AM$70)</f>
        <v>42431</v>
      </c>
      <c r="R20" s="30">
        <f>WORKDAY(R21,$A20,$AM$41:$AM$70)</f>
        <v>42481</v>
      </c>
      <c r="S20" s="30">
        <f>WORKDAY(S21,$A20,$AM$41:$AM$70)</f>
        <v>42481</v>
      </c>
      <c r="T20" s="30">
        <f>WORKDAY(T21,$A20,$AM$41:$AM$70)</f>
        <v>42465</v>
      </c>
      <c r="U20" s="30">
        <f>WORKDAY(U21,$A20,$AM$41:$AM$70)</f>
        <v>42481</v>
      </c>
      <c r="V20" s="30">
        <f>WORKDAY(V21,$A20,$AM$41:$AM$70)</f>
        <v>42507</v>
      </c>
      <c r="W20" s="30">
        <f>WORKDAY(W21,$A20,$AM$41:$AM$70)</f>
        <v>42507</v>
      </c>
      <c r="X20" s="30">
        <f>WORKDAY(X21,$A20,$AM$41:$AM$70)</f>
        <v>42507</v>
      </c>
      <c r="Y20" s="30">
        <f>WORKDAY(Y21,$A20,$AM$41:$AM$70)</f>
        <v>42481</v>
      </c>
      <c r="Z20" s="30">
        <f>WORKDAY(Z21,$A20,$AM$41:$AM$70)</f>
        <v>42481</v>
      </c>
      <c r="AA20" s="30">
        <f>WORKDAY(AA21,$A20,$AM$41:$AM$70)</f>
        <v>42507</v>
      </c>
      <c r="AB20" s="30">
        <f>WORKDAY(AB21,$A20,$AM$41:$AM$70)</f>
        <v>42479</v>
      </c>
      <c r="AC20" s="30">
        <f>WORKDAY(AC21,$A20,$AM$41:$AM$70)</f>
        <v>42494</v>
      </c>
      <c r="AD20" s="30">
        <f>WORKDAY(AD21,$A20,$AM$41:$AM$70)</f>
        <v>42507</v>
      </c>
      <c r="AE20" s="28">
        <f>WORKDAY(AE21,$A20,$AM$41:$AM$70)</f>
        <v>42507</v>
      </c>
      <c r="AF20" s="28">
        <f>WORKDAY(AF21,$A20,$AM$41:$AM$70)</f>
        <v>42495</v>
      </c>
      <c r="AG20" s="28">
        <f>WORKDAY(AG21,$A20,$AM$41:$AM$70)</f>
        <v>42495</v>
      </c>
      <c r="AH20" s="28">
        <f>WORKDAY(AH21,$A20,$AM$41:$AM$70)</f>
        <v>42495</v>
      </c>
      <c r="AI20" s="28">
        <f>WORKDAY(AI21,$A20,$AM$41:$AM$70)</f>
        <v>42507</v>
      </c>
      <c r="AJ20" s="28">
        <f>WORKDAY(AJ21,$A20,$AM$41:$AM$70)</f>
        <v>42460</v>
      </c>
      <c r="AK20" s="30">
        <f>WORKDAY(AK21,$A20,$AM$41:$AM$70)</f>
        <v>42432</v>
      </c>
      <c r="AL20" s="30">
        <f>WORKDAY(AL21,$A20,$AM$41:$AM$70)</f>
        <v>42433</v>
      </c>
      <c r="AM20" s="30">
        <f>WORKDAY(AM21,$A20,$AM$41:$AM$70)</f>
        <v>42443</v>
      </c>
      <c r="AN20" s="30">
        <v>42445</v>
      </c>
      <c r="AO20" s="28">
        <f>WORKDAY(AO21,$A20,$AM$41:$AM$70)</f>
        <v>42472</v>
      </c>
      <c r="AP20" s="28">
        <f>WORKDAY(AP21,$A20,$AM$41:$AM$70)</f>
        <v>42507</v>
      </c>
      <c r="AQ20" s="28">
        <f>WORKDAY(AQ21,$A20,$AM$41:$AM$70)</f>
        <v>42507</v>
      </c>
      <c r="AR20" s="28">
        <f>WORKDAY(AR21,$A20,$AM$41:$AM$70)</f>
        <v>42479</v>
      </c>
      <c r="AS20" s="28">
        <f>WORKDAY(AS21,$A20,$AM$41:$AM$70)</f>
        <v>42481</v>
      </c>
      <c r="AT20" s="28">
        <f>WORKDAY(AT21,$A20,$AM$41:$AM$70)</f>
        <v>42475</v>
      </c>
      <c r="AU20" s="28">
        <f>WORKDAY(AU21,$A20,$AM$41:$AM$70)</f>
        <v>42507</v>
      </c>
      <c r="AV20" s="28">
        <f>WORKDAY(AV21,$A20,$AM$41:$AM$70)</f>
        <v>42480</v>
      </c>
      <c r="AW20" s="28">
        <f>WORKDAY(AW21,$A20,$AM$41:$AM$70)</f>
        <v>42481</v>
      </c>
      <c r="AX20" s="28">
        <f>WORKDAY(AX21,$A20,$AM$41:$AM$70)</f>
        <v>42481</v>
      </c>
      <c r="AY20" s="28">
        <f>WORKDAY(AY21,$A20,$AM$41:$AM$70)</f>
        <v>42460</v>
      </c>
      <c r="AZ20" s="28">
        <f>WORKDAY(AZ21,$A20,$AM$41:$AM$70)</f>
        <v>42432</v>
      </c>
      <c r="BA20" s="28">
        <f>WORKDAY(BA21,$A20,$AM$41:$AM$70)</f>
        <v>42471</v>
      </c>
      <c r="BB20" s="28">
        <f>WORKDAY(BB21,$A20,$AM$41:$AM$70)</f>
        <v>42452</v>
      </c>
      <c r="BC20" s="28">
        <f>WORKDAY(BC21,$A20,$AM$41:$AM$70)</f>
        <v>42481</v>
      </c>
      <c r="BD20" s="28">
        <f>WORKDAY(BD21,$A20,$AM$41:$AM$70)</f>
        <v>42507</v>
      </c>
      <c r="BE20" s="28">
        <f>WORKDAY(BE21,$A20,$AM$41:$AM$70)</f>
        <v>42507</v>
      </c>
      <c r="BF20" s="28">
        <f>WORKDAY(BF21,$A20,$AM$41:$AM$70)</f>
        <v>42507</v>
      </c>
      <c r="BG20" s="28">
        <f>WORKDAY(BG21,$A20,$AM$41:$AM$70)</f>
        <v>42507</v>
      </c>
      <c r="BH20" s="28">
        <f>WORKDAY(BH21,$A20,$AM$41:$AM$70)</f>
        <v>42507</v>
      </c>
      <c r="BI20" s="28">
        <f>WORKDAY(BI21,$A20,$AM$41:$AM$70)</f>
        <v>42507</v>
      </c>
      <c r="BJ20" s="28">
        <f>WORKDAY(BJ21,$A20,$AM$41:$AM$70)</f>
        <v>42507</v>
      </c>
      <c r="BK20" s="28">
        <f>WORKDAY(BK21,$A20,$AM$41:$AM$70)</f>
        <v>42507</v>
      </c>
      <c r="BL20" s="28">
        <f>WORKDAY(BL21,$A20,$AM$41:$AM$70)</f>
        <v>42507</v>
      </c>
      <c r="BM20" s="28">
        <f>WORKDAY(BM21,$A20,$AM$41:$AM$70)</f>
        <v>42507</v>
      </c>
      <c r="BN20" s="28">
        <f>WORKDAY(BN21,$A20,$AM$41:$AM$70)</f>
        <v>42507</v>
      </c>
      <c r="BO20" s="28">
        <f>WORKDAY(BO21,$A20,$AM$41:$AM$70)</f>
        <v>13</v>
      </c>
      <c r="BP20" s="28">
        <f>WORKDAY(BP21,$A20,$AM$41:$AM$70)</f>
        <v>13</v>
      </c>
      <c r="BQ20" s="28">
        <f>WORKDAY(BQ21,$A20,$AM$41:$AM$70)</f>
        <v>13</v>
      </c>
      <c r="BR20" s="28">
        <f>WORKDAY(BR21,$A20,$AM$41:$AM$70)</f>
        <v>13</v>
      </c>
      <c r="BS20" s="28">
        <f>WORKDAY(BS21,$A20,$AM$41:$AM$70)</f>
        <v>13</v>
      </c>
      <c r="BT20" s="28">
        <f>WORKDAY(BT21,$A20,$AM$41:$AM$70)</f>
        <v>13</v>
      </c>
      <c r="BU20" s="28">
        <f>WORKDAY(BU21,$A20,$AM$41:$AM$70)</f>
        <v>13</v>
      </c>
      <c r="BV20" s="28">
        <f>WORKDAY(BV21,$A20,$AM$41:$AM$70)</f>
        <v>13</v>
      </c>
      <c r="BW20" s="28">
        <f>WORKDAY(BW21,$A20,$AM$41:$AM$70)</f>
        <v>13</v>
      </c>
      <c r="BX20" s="28">
        <f>WORKDAY(BX21,$A20,$AM$41:$AM$70)</f>
        <v>13</v>
      </c>
      <c r="BY20" s="28">
        <f>WORKDAY(BY21,$A20,$AM$41:$AM$70)</f>
        <v>13</v>
      </c>
      <c r="BZ20" s="28">
        <f>WORKDAY(BZ21,$A20,$AM$41:$AM$70)</f>
        <v>13</v>
      </c>
      <c r="CA20" s="28">
        <f>WORKDAY(CA21,$A20,$AM$41:$AM$70)</f>
        <v>13</v>
      </c>
      <c r="CB20" s="28">
        <f>WORKDAY(CB21,$A20,$AM$41:$AM$70)</f>
        <v>13</v>
      </c>
      <c r="CC20" s="28">
        <f>WORKDAY(CC21,$A20,$AM$41:$AM$70)</f>
        <v>13</v>
      </c>
      <c r="CD20" s="28">
        <f>WORKDAY(CD21,$A20,$AM$41:$AM$70)</f>
        <v>13</v>
      </c>
      <c r="CE20" s="28">
        <f>WORKDAY(CE21,$A20,$AM$41:$AM$70)</f>
        <v>13</v>
      </c>
      <c r="CF20" s="28">
        <f>WORKDAY(CF21,$A20,$AM$41:$AM$70)</f>
        <v>13</v>
      </c>
      <c r="CG20" s="28">
        <f>WORKDAY(CG21,$A20,$AM$41:$AM$70)</f>
        <v>13</v>
      </c>
      <c r="CH20" s="28">
        <f>WORKDAY(CH21,$A20,$AM$41:$AM$70)</f>
        <v>13</v>
      </c>
      <c r="CI20" s="28">
        <f>WORKDAY(CI21,$A20,$AM$41:$AM$70)</f>
        <v>13</v>
      </c>
      <c r="CJ20" s="28">
        <f>WORKDAY(CJ21,$A20,$AM$41:$AM$70)</f>
        <v>13</v>
      </c>
      <c r="CK20" s="28">
        <f>WORKDAY(CK21,$A20,$AM$41:$AM$70)</f>
        <v>13</v>
      </c>
      <c r="CL20" s="28">
        <f>WORKDAY(CL21,$A20,$AM$41:$AM$70)</f>
        <v>13</v>
      </c>
      <c r="CM20" s="28">
        <f>WORKDAY(CM21,$A20,$AM$41:$AM$70)</f>
        <v>13</v>
      </c>
      <c r="CN20" s="28">
        <f>WORKDAY(CN21,$A20,$AM$41:$AM$70)</f>
        <v>13</v>
      </c>
      <c r="CO20" s="28">
        <f>WORKDAY(CO21,$A20,$AM$41:$AM$70)</f>
        <v>13</v>
      </c>
      <c r="CP20" s="28">
        <f>WORKDAY(CP21,$A20,$AM$41:$AM$70)</f>
        <v>13</v>
      </c>
      <c r="CQ20" s="28">
        <f>WORKDAY(CQ21,$A20,$AM$41:$AM$70)</f>
        <v>13</v>
      </c>
      <c r="CR20" s="28">
        <f>WORKDAY(CR21,$A20,$AM$41:$AM$70)</f>
        <v>13</v>
      </c>
      <c r="CS20" s="28">
        <f>WORKDAY(CS21,$A20,$AM$41:$AM$70)</f>
        <v>13</v>
      </c>
      <c r="CT20" s="28">
        <f>WORKDAY(CT21,$A20,$AM$41:$AM$70)</f>
        <v>13</v>
      </c>
      <c r="CU20" s="28">
        <f>WORKDAY(CU21,$A20,$AM$41:$AM$70)</f>
        <v>13</v>
      </c>
      <c r="CV20" s="28">
        <f>WORKDAY(CV21,$A20,$AM$41:$AM$70)</f>
        <v>13</v>
      </c>
      <c r="CW20" s="28">
        <f>WORKDAY(CW21,$A20,$AM$41:$AM$70)</f>
        <v>13</v>
      </c>
      <c r="CX20" s="28">
        <f>WORKDAY(CX21,$A20,$AM$41:$AM$70)</f>
        <v>13</v>
      </c>
      <c r="CY20" s="28">
        <f>WORKDAY(CY21,$A20,$AM$41:$AM$70)</f>
        <v>13</v>
      </c>
      <c r="CZ20" s="28">
        <f>WORKDAY(CZ21,$A20,$AM$41:$AM$70)</f>
        <v>13</v>
      </c>
      <c r="DA20" s="28">
        <f>WORKDAY(DA21,$A20,$AM$41:$AM$70)</f>
        <v>13</v>
      </c>
      <c r="DB20" s="28">
        <f>WORKDAY(DB21,$A20,$AM$41:$AM$70)</f>
        <v>13</v>
      </c>
      <c r="DC20" s="28">
        <f>WORKDAY(DC21,$A20,$AM$41:$AM$70)</f>
        <v>13</v>
      </c>
      <c r="DD20" s="28">
        <f>WORKDAY(DD21,$A20,$AM$41:$AM$70)</f>
        <v>13</v>
      </c>
      <c r="DE20" s="28">
        <f>WORKDAY(DE21,$A20,$AM$41:$AM$70)</f>
        <v>13</v>
      </c>
    </row>
    <row r="21" spans="1:109" ht="12.6" customHeight="1" x14ac:dyDescent="0.2">
      <c r="A21" s="26">
        <v>2</v>
      </c>
      <c r="B21" s="32" t="s">
        <v>20</v>
      </c>
      <c r="C21" s="30">
        <f>WORKDAY(C23,$A21,$AM$41:$AM$70)</f>
        <v>42454</v>
      </c>
      <c r="D21" s="30">
        <f>WORKDAY(D23,$A21,$AM$41:$AM$70)</f>
        <v>42459</v>
      </c>
      <c r="E21" s="30">
        <f>WORKDAY(E23,$A21,$AM$41:$AM$70)</f>
        <v>42458</v>
      </c>
      <c r="F21" s="30">
        <f>WORKDAY(F23,$A21,$AM$41:$AM$70)</f>
        <v>42451</v>
      </c>
      <c r="G21" s="30">
        <f>WORKDAY(G22,$A21,$AM$41:$AM$70)</f>
        <v>42479</v>
      </c>
      <c r="H21" s="30">
        <f>WORKDAY(H23,$A21,$AM$41:$AM$70)</f>
        <v>42494</v>
      </c>
      <c r="I21" s="30">
        <f>WORKDAY(I22,$A21,$AM$41:$AM$70)</f>
        <v>42479</v>
      </c>
      <c r="J21" s="30">
        <f>WORKDAY(J23,$A21,$AM$41:$AM$70)</f>
        <v>42479</v>
      </c>
      <c r="K21" s="30">
        <f>WORKDAY(K22,$A21,$AM$41:$AM$70)</f>
        <v>42479</v>
      </c>
      <c r="L21" s="30">
        <f>WORKDAY(L23,$A21,$AM$41:$AM$70)</f>
        <v>42502</v>
      </c>
      <c r="M21" s="30">
        <f>WORKDAY(M23,$A21,$AM$41:$AM$70)</f>
        <v>42502</v>
      </c>
      <c r="N21" s="30">
        <f>WORKDAY(N23,$A21,$AM$41:$AM$70)</f>
        <v>42503</v>
      </c>
      <c r="O21" s="30">
        <f>WORKDAY(O23,$A21,$AM$41:$AM$70)</f>
        <v>42465</v>
      </c>
      <c r="P21" s="30">
        <f>WORKDAY(P23,$A21,$AM$41:$AM$70)</f>
        <v>42461</v>
      </c>
      <c r="Q21" s="30">
        <f>WORKDAY(Q23,$A21,$AM$41:$AM$70)</f>
        <v>42429</v>
      </c>
      <c r="R21" s="30">
        <f>WORKDAY(R22,$A21,$AM$41:$AM$70)</f>
        <v>42479</v>
      </c>
      <c r="S21" s="30">
        <f>WORKDAY(S23,$A21,$AM$41:$AM$70)</f>
        <v>42479</v>
      </c>
      <c r="T21" s="30">
        <f>WORKDAY(T23,$A21,$AM$41:$AM$70)</f>
        <v>42461</v>
      </c>
      <c r="U21" s="30">
        <f>WORKDAY(U22,$A21,$AM$41:$AM$70)</f>
        <v>42479</v>
      </c>
      <c r="V21" s="30">
        <f>WORKDAY(V23,$A21,$AM$41:$AM$70)</f>
        <v>42503</v>
      </c>
      <c r="W21" s="30">
        <f>WORKDAY(W23,$A21,$AM$41:$AM$70)</f>
        <v>42503</v>
      </c>
      <c r="X21" s="30">
        <f>WORKDAY(X23,$A21,$AM$41:$AM$70)</f>
        <v>42503</v>
      </c>
      <c r="Y21" s="30">
        <f>WORKDAY(Y22,$A21,$AM$41:$AM$70)</f>
        <v>42479</v>
      </c>
      <c r="Z21" s="30">
        <f>WORKDAY(Z23,$A21,$AM$41:$AM$70)</f>
        <v>42479</v>
      </c>
      <c r="AA21" s="30">
        <f>WORKDAY(AA23,$A21,$AM$41:$AM$70)</f>
        <v>42503</v>
      </c>
      <c r="AB21" s="30">
        <f>WORKDAY(AB23,$A21,$AM$41:$AM$70)</f>
        <v>42475</v>
      </c>
      <c r="AC21" s="30">
        <v>42492</v>
      </c>
      <c r="AD21" s="30">
        <f>WORKDAY(AD23,$A21,$AM$41:$AM$70)</f>
        <v>42503</v>
      </c>
      <c r="AE21" s="30">
        <f>WORKDAY(AE23,$A21,$AM$41:$AM$70)</f>
        <v>42503</v>
      </c>
      <c r="AF21" s="30">
        <v>42493</v>
      </c>
      <c r="AG21" s="30">
        <v>42493</v>
      </c>
      <c r="AH21" s="30">
        <v>42493</v>
      </c>
      <c r="AI21" s="30">
        <f>WORKDAY(AI23,$A21,$AM$41:$AM$70)</f>
        <v>42503</v>
      </c>
      <c r="AJ21" s="28">
        <f>WORKDAY(AJ23,$A21,$AM$41:$AM$70)</f>
        <v>42458</v>
      </c>
      <c r="AK21" s="30">
        <v>42430</v>
      </c>
      <c r="AL21" s="30">
        <f>WORKDAY(AL23,$A21,$AM$41:$AM$70)</f>
        <v>42431</v>
      </c>
      <c r="AM21" s="30">
        <f>WORKDAY(AM22,$A21,$AM$41:$AM$70)</f>
        <v>42439</v>
      </c>
      <c r="AN21" s="30">
        <v>42446</v>
      </c>
      <c r="AO21" s="28">
        <f>WORKDAY(AO23,$A21,$AM$41:$AM$70)</f>
        <v>42468</v>
      </c>
      <c r="AP21" s="28">
        <f>WORKDAY(AP23,$A21,$AM$41:$AM$70)</f>
        <v>42503</v>
      </c>
      <c r="AQ21" s="28">
        <f>WORKDAY(AQ23,$A21,$AM$41:$AM$70)</f>
        <v>42503</v>
      </c>
      <c r="AR21" s="28">
        <f>WORKDAY(AR23,$A21,$AM$41:$AM$70)</f>
        <v>42475</v>
      </c>
      <c r="AS21" s="28">
        <f>WORKDAY(AS23,$A21,$AM$41:$AM$70)</f>
        <v>42479</v>
      </c>
      <c r="AT21" s="28">
        <f>WORKDAY(AT23,$A21,$AM$41:$AM$70)</f>
        <v>42473</v>
      </c>
      <c r="AU21" s="28">
        <f>WORKDAY(AU23,$A21,$AM$41:$AM$70)</f>
        <v>42503</v>
      </c>
      <c r="AV21" s="28">
        <f>WORKDAY(AV23,$A21,$AM$41:$AM$70)</f>
        <v>42478</v>
      </c>
      <c r="AW21" s="28">
        <f>WORKDAY(AW23,$A21,$AM$41:$AM$70)</f>
        <v>42479</v>
      </c>
      <c r="AX21" s="28">
        <f>WORKDAY(AX23,$A21,$AM$41:$AM$70)</f>
        <v>42479</v>
      </c>
      <c r="AY21" s="28">
        <f>WORKDAY(AY23,$A21,$AM$41:$AM$70)</f>
        <v>42458</v>
      </c>
      <c r="AZ21" s="28">
        <f>WORKDAY(AZ23,$A21,$AM$41:$AM$70)</f>
        <v>42430</v>
      </c>
      <c r="BA21" s="28">
        <f>WORKDAY(BA23,$A21,$AM$41:$AM$70)</f>
        <v>42467</v>
      </c>
      <c r="BB21" s="28">
        <f>WORKDAY(BB23,$A21,$AM$41:$AM$70)</f>
        <v>42450</v>
      </c>
      <c r="BC21" s="28">
        <f>WORKDAY(BC23,$A21,$AM$41:$AM$70)</f>
        <v>42479</v>
      </c>
      <c r="BD21" s="28">
        <f>WORKDAY(BD23,$A21,$AM$41:$AM$70)</f>
        <v>42503</v>
      </c>
      <c r="BE21" s="28">
        <f>WORKDAY(BE23,$A21,$AM$41:$AM$70)</f>
        <v>42503</v>
      </c>
      <c r="BF21" s="28">
        <f>WORKDAY(BF23,$A21,$AM$41:$AM$70)</f>
        <v>42503</v>
      </c>
      <c r="BG21" s="28">
        <f>WORKDAY(BG23,$A21,$AM$41:$AM$70)</f>
        <v>42503</v>
      </c>
      <c r="BH21" s="28">
        <f>WORKDAY(BH23,$A21,$AM$41:$AM$70)</f>
        <v>42503</v>
      </c>
      <c r="BI21" s="28">
        <f>WORKDAY(BI23,$A21,$AM$41:$AM$70)</f>
        <v>42503</v>
      </c>
      <c r="BJ21" s="28">
        <f>WORKDAY(BJ23,$A21,$AM$41:$AM$70)</f>
        <v>42503</v>
      </c>
      <c r="BK21" s="28">
        <f>WORKDAY(BK23,$A21,$AM$41:$AM$70)</f>
        <v>42503</v>
      </c>
      <c r="BL21" s="28">
        <f>WORKDAY(BL23,$A21,$AM$41:$AM$70)</f>
        <v>42503</v>
      </c>
      <c r="BM21" s="28">
        <f>WORKDAY(BM23,$A21,$AM$41:$AM$70)</f>
        <v>42503</v>
      </c>
      <c r="BN21" s="28">
        <f>WORKDAY(BN23,$A21,$AM$41:$AM$70)</f>
        <v>42503</v>
      </c>
      <c r="BO21" s="28">
        <f>WORKDAY(BO23,$A21,$AM$41:$AM$70)</f>
        <v>11</v>
      </c>
      <c r="BP21" s="28">
        <f>WORKDAY(BP23,$A21,$AM$41:$AM$70)</f>
        <v>11</v>
      </c>
      <c r="BQ21" s="28">
        <f>WORKDAY(BQ23,$A21,$AM$41:$AM$70)</f>
        <v>11</v>
      </c>
      <c r="BR21" s="28">
        <f>WORKDAY(BR23,$A21,$AM$41:$AM$70)</f>
        <v>11</v>
      </c>
      <c r="BS21" s="28">
        <f>WORKDAY(BS23,$A21,$AM$41:$AM$70)</f>
        <v>11</v>
      </c>
      <c r="BT21" s="28">
        <f>WORKDAY(BT23,$A21,$AM$41:$AM$70)</f>
        <v>11</v>
      </c>
      <c r="BU21" s="28">
        <f>WORKDAY(BU23,$A21,$AM$41:$AM$70)</f>
        <v>11</v>
      </c>
      <c r="BV21" s="28">
        <f>WORKDAY(BV23,$A21,$AM$41:$AM$70)</f>
        <v>11</v>
      </c>
      <c r="BW21" s="28">
        <f>WORKDAY(BW23,$A21,$AM$41:$AM$70)</f>
        <v>11</v>
      </c>
      <c r="BX21" s="28">
        <f>WORKDAY(BX23,$A21,$AM$41:$AM$70)</f>
        <v>11</v>
      </c>
      <c r="BY21" s="28">
        <f>WORKDAY(BY23,$A21,$AM$41:$AM$70)</f>
        <v>11</v>
      </c>
      <c r="BZ21" s="28">
        <f>WORKDAY(BZ23,$A21,$AM$41:$AM$70)</f>
        <v>11</v>
      </c>
      <c r="CA21" s="28">
        <f>WORKDAY(CA23,$A21,$AM$41:$AM$70)</f>
        <v>11</v>
      </c>
      <c r="CB21" s="28">
        <f>WORKDAY(CB23,$A21,$AM$41:$AM$70)</f>
        <v>11</v>
      </c>
      <c r="CC21" s="28">
        <f>WORKDAY(CC23,$A21,$AM$41:$AM$70)</f>
        <v>11</v>
      </c>
      <c r="CD21" s="28">
        <f>WORKDAY(CD23,$A21,$AM$41:$AM$70)</f>
        <v>11</v>
      </c>
      <c r="CE21" s="28">
        <f>WORKDAY(CE23,$A21,$AM$41:$AM$70)</f>
        <v>11</v>
      </c>
      <c r="CF21" s="28">
        <f>WORKDAY(CF23,$A21,$AM$41:$AM$70)</f>
        <v>11</v>
      </c>
      <c r="CG21" s="28">
        <f>WORKDAY(CG23,$A21,$AM$41:$AM$70)</f>
        <v>11</v>
      </c>
      <c r="CH21" s="28">
        <f>WORKDAY(CH23,$A21,$AM$41:$AM$70)</f>
        <v>11</v>
      </c>
      <c r="CI21" s="28">
        <f>WORKDAY(CI23,$A21,$AM$41:$AM$70)</f>
        <v>11</v>
      </c>
      <c r="CJ21" s="28">
        <f>WORKDAY(CJ23,$A21,$AM$41:$AM$70)</f>
        <v>11</v>
      </c>
      <c r="CK21" s="28">
        <f>WORKDAY(CK23,$A21,$AM$41:$AM$70)</f>
        <v>11</v>
      </c>
      <c r="CL21" s="28">
        <f>WORKDAY(CL23,$A21,$AM$41:$AM$70)</f>
        <v>11</v>
      </c>
      <c r="CM21" s="28">
        <f>WORKDAY(CM23,$A21,$AM$41:$AM$70)</f>
        <v>11</v>
      </c>
      <c r="CN21" s="28">
        <f>WORKDAY(CN23,$A21,$AM$41:$AM$70)</f>
        <v>11</v>
      </c>
      <c r="CO21" s="28">
        <f>WORKDAY(CO23,$A21,$AM$41:$AM$70)</f>
        <v>11</v>
      </c>
      <c r="CP21" s="28">
        <f>WORKDAY(CP23,$A21,$AM$41:$AM$70)</f>
        <v>11</v>
      </c>
      <c r="CQ21" s="28">
        <f>WORKDAY(CQ23,$A21,$AM$41:$AM$70)</f>
        <v>11</v>
      </c>
      <c r="CR21" s="28">
        <f>WORKDAY(CR23,$A21,$AM$41:$AM$70)</f>
        <v>11</v>
      </c>
      <c r="CS21" s="28">
        <f>WORKDAY(CS23,$A21,$AM$41:$AM$70)</f>
        <v>11</v>
      </c>
      <c r="CT21" s="28">
        <f>WORKDAY(CT23,$A21,$AM$41:$AM$70)</f>
        <v>11</v>
      </c>
      <c r="CU21" s="28">
        <f>WORKDAY(CU23,$A21,$AM$41:$AM$70)</f>
        <v>11</v>
      </c>
      <c r="CV21" s="28">
        <f>WORKDAY(CV23,$A21,$AM$41:$AM$70)</f>
        <v>11</v>
      </c>
      <c r="CW21" s="28">
        <f>WORKDAY(CW23,$A21,$AM$41:$AM$70)</f>
        <v>11</v>
      </c>
      <c r="CX21" s="28">
        <f>WORKDAY(CX23,$A21,$AM$41:$AM$70)</f>
        <v>11</v>
      </c>
      <c r="CY21" s="28">
        <f>WORKDAY(CY23,$A21,$AM$41:$AM$70)</f>
        <v>11</v>
      </c>
      <c r="CZ21" s="28">
        <f>WORKDAY(CZ23,$A21,$AM$41:$AM$70)</f>
        <v>11</v>
      </c>
      <c r="DA21" s="28">
        <f>WORKDAY(DA23,$A21,$AM$41:$AM$70)</f>
        <v>11</v>
      </c>
      <c r="DB21" s="28">
        <f>WORKDAY(DB23,$A21,$AM$41:$AM$70)</f>
        <v>11</v>
      </c>
      <c r="DC21" s="28">
        <f>WORKDAY(DC23,$A21,$AM$41:$AM$70)</f>
        <v>11</v>
      </c>
      <c r="DD21" s="28">
        <f>WORKDAY(DD23,$A21,$AM$41:$AM$70)</f>
        <v>11</v>
      </c>
      <c r="DE21" s="28">
        <f>WORKDAY(DE23,$A21,$AM$41:$AM$70)</f>
        <v>11</v>
      </c>
    </row>
    <row r="22" spans="1:109" ht="12.6" customHeight="1" x14ac:dyDescent="0.2">
      <c r="A22" s="26">
        <v>2</v>
      </c>
      <c r="B22" s="32" t="s">
        <v>21</v>
      </c>
      <c r="C22" s="30"/>
      <c r="D22" s="30"/>
      <c r="E22" s="30"/>
      <c r="F22" s="30"/>
      <c r="G22" s="30">
        <f>WORKDAY(G23,$A22,$AM$41:$AM$70)</f>
        <v>42475</v>
      </c>
      <c r="H22" s="30"/>
      <c r="I22" s="30">
        <f>WORKDAY(I23,$A22,$AM$41:$AM$70)</f>
        <v>42475</v>
      </c>
      <c r="J22" s="30"/>
      <c r="K22" s="30">
        <f>WORKDAY(K23,$A22,$AM$41:$AM$70)</f>
        <v>42475</v>
      </c>
      <c r="L22" s="30"/>
      <c r="M22" s="30"/>
      <c r="N22" s="30"/>
      <c r="O22" s="30"/>
      <c r="P22" s="30"/>
      <c r="Q22" s="30"/>
      <c r="R22" s="30">
        <f>WORKDAY(R23,$A22,$AM$41:$AM$70)</f>
        <v>42475</v>
      </c>
      <c r="S22" s="30"/>
      <c r="T22" s="30"/>
      <c r="U22" s="30">
        <f>WORKDAY(U23,$A22,$AM$41:$AM$70)</f>
        <v>42475</v>
      </c>
      <c r="V22" s="30"/>
      <c r="W22" s="30"/>
      <c r="X22" s="30"/>
      <c r="Y22" s="30">
        <f>WORKDAY(Y23,$A22,$AM$41:$AM$70)</f>
        <v>42475</v>
      </c>
      <c r="Z22" s="30"/>
      <c r="AA22" s="30"/>
      <c r="AB22" s="30"/>
      <c r="AC22" s="30"/>
      <c r="AD22" s="30"/>
      <c r="AE22" s="30"/>
      <c r="AF22" s="30">
        <v>42492</v>
      </c>
      <c r="AG22" s="30"/>
      <c r="AH22" s="30"/>
      <c r="AI22" s="30"/>
      <c r="AJ22" s="30"/>
      <c r="AK22" s="30">
        <v>42431</v>
      </c>
      <c r="AL22" s="30">
        <f>WORKDAY(AL23,$A22,$AM$41:$AM$70)</f>
        <v>42431</v>
      </c>
      <c r="AM22" s="30">
        <f>WORKDAY(AM23,$A22,$AM$41:$AM$70)</f>
        <v>42437</v>
      </c>
      <c r="AN22" s="30">
        <v>42445</v>
      </c>
      <c r="AO22" s="30"/>
      <c r="AP22" s="30"/>
      <c r="AQ22" s="30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  <c r="BN22" s="28"/>
      <c r="BO22" s="28"/>
      <c r="BP22" s="28"/>
      <c r="BQ22" s="28"/>
      <c r="BR22" s="28"/>
      <c r="BS22" s="28"/>
      <c r="BT22" s="28"/>
      <c r="BU22" s="28"/>
      <c r="BV22" s="28"/>
      <c r="BW22" s="28"/>
      <c r="BX22" s="28"/>
      <c r="BY22" s="28"/>
      <c r="BZ22" s="28"/>
      <c r="CA22" s="28"/>
      <c r="CB22" s="28"/>
      <c r="CC22" s="28"/>
      <c r="CD22" s="28"/>
      <c r="CE22" s="28"/>
      <c r="CF22" s="28"/>
      <c r="CG22" s="28"/>
      <c r="CH22" s="28"/>
      <c r="CI22" s="28"/>
      <c r="CJ22" s="28"/>
      <c r="CK22" s="28"/>
      <c r="CL22" s="28"/>
      <c r="CM22" s="28"/>
      <c r="CN22" s="28"/>
      <c r="CO22" s="28"/>
      <c r="CP22" s="28"/>
      <c r="CQ22" s="28"/>
      <c r="CR22" s="28"/>
      <c r="CS22" s="28"/>
      <c r="CT22" s="28"/>
      <c r="CU22" s="28"/>
      <c r="CV22" s="28"/>
      <c r="CW22" s="28"/>
      <c r="CX22" s="28"/>
      <c r="CY22" s="28"/>
      <c r="CZ22" s="28"/>
      <c r="DA22" s="28"/>
      <c r="DB22" s="28"/>
      <c r="DC22" s="28"/>
      <c r="DD22" s="28"/>
      <c r="DE22" s="28"/>
    </row>
    <row r="23" spans="1:109" ht="12.6" customHeight="1" x14ac:dyDescent="0.2">
      <c r="A23" s="26">
        <v>2</v>
      </c>
      <c r="B23" s="32" t="s">
        <v>22</v>
      </c>
      <c r="C23" s="30">
        <f>WORKDAY(C24,$A23,$AM$41:$AM$70)</f>
        <v>42452</v>
      </c>
      <c r="D23" s="30">
        <f>WORKDAY(D24,$A23,$AM$41:$AM$70)</f>
        <v>42457</v>
      </c>
      <c r="E23" s="30">
        <f>WORKDAY(E24,$A23,$AM$41:$AM$70)</f>
        <v>42454</v>
      </c>
      <c r="F23" s="30">
        <f>WORKDAY(F24,$A23,$AM$41:$AM$70)</f>
        <v>42447</v>
      </c>
      <c r="G23" s="30">
        <v>42473</v>
      </c>
      <c r="H23" s="30">
        <f>WORKDAY(H24,$A23,$AM$41:$AM$70)</f>
        <v>42492</v>
      </c>
      <c r="I23" s="30">
        <v>42473</v>
      </c>
      <c r="J23" s="30">
        <f>WORKDAY(J24,$A23,$AM$41:$AM$70)</f>
        <v>42475</v>
      </c>
      <c r="K23" s="30">
        <v>42473</v>
      </c>
      <c r="L23" s="30">
        <f>WORKDAY(L24,$A23,$AM$41:$AM$70)</f>
        <v>42500</v>
      </c>
      <c r="M23" s="30">
        <f>WORKDAY(M24,$A23,$AM$41:$AM$70)</f>
        <v>42500</v>
      </c>
      <c r="N23" s="30">
        <f>WORKDAY(N24,$A23,$AM$41:$AM$70)</f>
        <v>42501</v>
      </c>
      <c r="O23" s="30">
        <f>WORKDAY(O24,$A23,$AM$41:$AM$70)</f>
        <v>42461</v>
      </c>
      <c r="P23" s="30">
        <f>WORKDAY(P24,$A23,$AM$41:$AM$70)</f>
        <v>42459</v>
      </c>
      <c r="Q23" s="30">
        <f>WORKDAY(Q24,$A23,$AM$41:$AM$70)</f>
        <v>42425</v>
      </c>
      <c r="R23" s="30">
        <v>42473</v>
      </c>
      <c r="S23" s="30">
        <f>WORKDAY(S24,$A23,$AM$41:$AM$70)</f>
        <v>42475</v>
      </c>
      <c r="T23" s="30">
        <f>WORKDAY(T24,$A23,$AM$41:$AM$70)</f>
        <v>42459</v>
      </c>
      <c r="U23" s="30">
        <v>42473</v>
      </c>
      <c r="V23" s="30">
        <f>WORKDAY(V24,$A23,$AM$41:$AM$70)</f>
        <v>42501</v>
      </c>
      <c r="W23" s="30">
        <f>WORKDAY(W24,$A23,$AM$41:$AM$70)</f>
        <v>42501</v>
      </c>
      <c r="X23" s="30">
        <f>WORKDAY(X24,$A23,$AM$41:$AM$70)</f>
        <v>42501</v>
      </c>
      <c r="Y23" s="30">
        <v>42473</v>
      </c>
      <c r="Z23" s="30">
        <f>WORKDAY(Z24,$A23,$AM$41:$AM$70)</f>
        <v>42475</v>
      </c>
      <c r="AA23" s="30">
        <f>WORKDAY(AA24,$A23,$AM$41:$AM$70)</f>
        <v>42501</v>
      </c>
      <c r="AB23" s="30">
        <v>42473</v>
      </c>
      <c r="AC23" s="30">
        <f>WORKDAY(AC24,$A23,$AM$41:$AM$70)</f>
        <v>42479</v>
      </c>
      <c r="AD23" s="30">
        <f>WORKDAY(AD24,$A23,$AM$41:$AM$70)</f>
        <v>42501</v>
      </c>
      <c r="AE23" s="30">
        <f>WORKDAY(AE24,$A23,$AM$41:$AM$70)</f>
        <v>42501</v>
      </c>
      <c r="AF23" s="30">
        <f>WORKDAY(AF24,$A23,$AM$41:$AM$70)</f>
        <v>42452</v>
      </c>
      <c r="AG23" s="30">
        <f>WORKDAY(AG24,$A23,$AM$41:$AM$70)</f>
        <v>42501</v>
      </c>
      <c r="AH23" s="30">
        <f>WORKDAY(AH24,$A23,$AM$41:$AM$70)</f>
        <v>42501</v>
      </c>
      <c r="AI23" s="30">
        <f>WORKDAY(AI24,$A23,$AM$41:$AM$70)</f>
        <v>42501</v>
      </c>
      <c r="AJ23" s="30">
        <f>WORKDAY(AJ24,$A23,$AM$41:$AM$70)</f>
        <v>42454</v>
      </c>
      <c r="AK23" s="30">
        <f>WORKDAY(AK24,$A23,$AM$41:$AM$70)</f>
        <v>42447</v>
      </c>
      <c r="AL23" s="30">
        <v>42429</v>
      </c>
      <c r="AM23" s="30">
        <v>42433</v>
      </c>
      <c r="AN23" s="30">
        <v>42437</v>
      </c>
      <c r="AO23" s="30">
        <f>WORKDAY(AO24,$A23,$AM$41:$AM$70)</f>
        <v>42466</v>
      </c>
      <c r="AP23" s="30">
        <f>WORKDAY(AP24,$A23,$AM$41:$AM$70)</f>
        <v>42501</v>
      </c>
      <c r="AQ23" s="30">
        <f>WORKDAY(AQ24,$A23,$AM$41:$AM$70)</f>
        <v>42501</v>
      </c>
      <c r="AR23" s="30">
        <v>42473</v>
      </c>
      <c r="AS23" s="30">
        <f>WORKDAY(AS24,$A23,$AM$41:$AM$70)</f>
        <v>42475</v>
      </c>
      <c r="AT23" s="30">
        <f>WORKDAY(AT24,$A23,$AM$41:$AM$70)</f>
        <v>42471</v>
      </c>
      <c r="AU23" s="30">
        <f>WORKDAY(AU24,$A23,$AM$41:$AM$70)</f>
        <v>42501</v>
      </c>
      <c r="AV23" s="28">
        <f>WORKDAY(AV24,$A23,$AM$41:$AM$70)</f>
        <v>42474</v>
      </c>
      <c r="AW23" s="28">
        <f>WORKDAY(AW24,$A23,$AM$41:$AM$70)</f>
        <v>42475</v>
      </c>
      <c r="AX23" s="28">
        <f>WORKDAY(AX24,$A23,$AM$41:$AM$70)</f>
        <v>42475</v>
      </c>
      <c r="AY23" s="28">
        <f>WORKDAY(AY24,$A23,$AM$41:$AM$70)</f>
        <v>42454</v>
      </c>
      <c r="AZ23" s="28">
        <f>WORKDAY(AZ24,$A23,$AM$41:$AM$70)</f>
        <v>42426</v>
      </c>
      <c r="BA23" s="28">
        <f>WORKDAY(BA24,$A23,$AM$41:$AM$70)</f>
        <v>42465</v>
      </c>
      <c r="BB23" s="28">
        <f>WORKDAY(BB24,$A23,$AM$41:$AM$70)</f>
        <v>42446</v>
      </c>
      <c r="BC23" s="28">
        <f>WORKDAY(BC24,$A23,$AM$41:$AM$70)</f>
        <v>42475</v>
      </c>
      <c r="BD23" s="28">
        <f>WORKDAY(BD24,$A23,$AM$41:$AM$70)</f>
        <v>42501</v>
      </c>
      <c r="BE23" s="28">
        <f>WORKDAY(BE24,$A23,$AM$41:$AM$70)</f>
        <v>42501</v>
      </c>
      <c r="BF23" s="28">
        <f>WORKDAY(BF24,$A23,$AM$41:$AM$70)</f>
        <v>42501</v>
      </c>
      <c r="BG23" s="28">
        <f>WORKDAY(BG24,$A23,$AM$41:$AM$70)</f>
        <v>42501</v>
      </c>
      <c r="BH23" s="28">
        <f>WORKDAY(BH24,$A23,$AM$41:$AM$70)</f>
        <v>42501</v>
      </c>
      <c r="BI23" s="28">
        <f>WORKDAY(BI24,$A23,$AM$41:$AM$70)</f>
        <v>42501</v>
      </c>
      <c r="BJ23" s="28">
        <f>WORKDAY(BJ24,$A23,$AM$41:$AM$70)</f>
        <v>42501</v>
      </c>
      <c r="BK23" s="28">
        <f>WORKDAY(BK24,$A23,$AM$41:$AM$70)</f>
        <v>42501</v>
      </c>
      <c r="BL23" s="28">
        <f>WORKDAY(BL24,$A23,$AM$41:$AM$70)</f>
        <v>42501</v>
      </c>
      <c r="BM23" s="28">
        <f>WORKDAY(BM24,$A23,$AM$41:$AM$70)</f>
        <v>42501</v>
      </c>
      <c r="BN23" s="28">
        <f>WORKDAY(BN24,$A23,$AM$41:$AM$70)</f>
        <v>42501</v>
      </c>
      <c r="BO23" s="28">
        <f>WORKDAY(BO24,$A23,$AM$41:$AM$70)</f>
        <v>9</v>
      </c>
      <c r="BP23" s="28">
        <f>WORKDAY(BP24,$A23,$AM$41:$AM$70)</f>
        <v>9</v>
      </c>
      <c r="BQ23" s="28">
        <f>WORKDAY(BQ24,$A23,$AM$41:$AM$70)</f>
        <v>9</v>
      </c>
      <c r="BR23" s="28">
        <f>WORKDAY(BR24,$A23,$AM$41:$AM$70)</f>
        <v>9</v>
      </c>
      <c r="BS23" s="28">
        <f>WORKDAY(BS24,$A23,$AM$41:$AM$70)</f>
        <v>9</v>
      </c>
      <c r="BT23" s="28">
        <f>WORKDAY(BT24,$A23,$AM$41:$AM$70)</f>
        <v>9</v>
      </c>
      <c r="BU23" s="28">
        <f>WORKDAY(BU24,$A23,$AM$41:$AM$70)</f>
        <v>9</v>
      </c>
      <c r="BV23" s="28">
        <f>WORKDAY(BV24,$A23,$AM$41:$AM$70)</f>
        <v>9</v>
      </c>
      <c r="BW23" s="28">
        <f>WORKDAY(BW24,$A23,$AM$41:$AM$70)</f>
        <v>9</v>
      </c>
      <c r="BX23" s="28">
        <f>WORKDAY(BX24,$A23,$AM$41:$AM$70)</f>
        <v>9</v>
      </c>
      <c r="BY23" s="28">
        <f>WORKDAY(BY24,$A23,$AM$41:$AM$70)</f>
        <v>9</v>
      </c>
      <c r="BZ23" s="28">
        <f>WORKDAY(BZ24,$A23,$AM$41:$AM$70)</f>
        <v>9</v>
      </c>
      <c r="CA23" s="28">
        <f>WORKDAY(CA24,$A23,$AM$41:$AM$70)</f>
        <v>9</v>
      </c>
      <c r="CB23" s="28">
        <f>WORKDAY(CB24,$A23,$AM$41:$AM$70)</f>
        <v>9</v>
      </c>
      <c r="CC23" s="28">
        <f>WORKDAY(CC24,$A23,$AM$41:$AM$70)</f>
        <v>9</v>
      </c>
      <c r="CD23" s="28">
        <f>WORKDAY(CD24,$A23,$AM$41:$AM$70)</f>
        <v>9</v>
      </c>
      <c r="CE23" s="28">
        <f>WORKDAY(CE24,$A23,$AM$41:$AM$70)</f>
        <v>9</v>
      </c>
      <c r="CF23" s="28">
        <f>WORKDAY(CF24,$A23,$AM$41:$AM$70)</f>
        <v>9</v>
      </c>
      <c r="CG23" s="28">
        <f>WORKDAY(CG24,$A23,$AM$41:$AM$70)</f>
        <v>9</v>
      </c>
      <c r="CH23" s="28">
        <f>WORKDAY(CH24,$A23,$AM$41:$AM$70)</f>
        <v>9</v>
      </c>
      <c r="CI23" s="28">
        <f>WORKDAY(CI24,$A23,$AM$41:$AM$70)</f>
        <v>9</v>
      </c>
      <c r="CJ23" s="28">
        <f>WORKDAY(CJ24,$A23,$AM$41:$AM$70)</f>
        <v>9</v>
      </c>
      <c r="CK23" s="28">
        <f>WORKDAY(CK24,$A23,$AM$41:$AM$70)</f>
        <v>9</v>
      </c>
      <c r="CL23" s="28">
        <f>WORKDAY(CL24,$A23,$AM$41:$AM$70)</f>
        <v>9</v>
      </c>
      <c r="CM23" s="28">
        <f>WORKDAY(CM24,$A23,$AM$41:$AM$70)</f>
        <v>9</v>
      </c>
      <c r="CN23" s="28">
        <f>WORKDAY(CN24,$A23,$AM$41:$AM$70)</f>
        <v>9</v>
      </c>
      <c r="CO23" s="28">
        <f>WORKDAY(CO24,$A23,$AM$41:$AM$70)</f>
        <v>9</v>
      </c>
      <c r="CP23" s="28">
        <f>WORKDAY(CP24,$A23,$AM$41:$AM$70)</f>
        <v>9</v>
      </c>
      <c r="CQ23" s="28">
        <f>WORKDAY(CQ24,$A23,$AM$41:$AM$70)</f>
        <v>9</v>
      </c>
      <c r="CR23" s="28">
        <f>WORKDAY(CR24,$A23,$AM$41:$AM$70)</f>
        <v>9</v>
      </c>
      <c r="CS23" s="28">
        <f>WORKDAY(CS24,$A23,$AM$41:$AM$70)</f>
        <v>9</v>
      </c>
      <c r="CT23" s="28">
        <f>WORKDAY(CT24,$A23,$AM$41:$AM$70)</f>
        <v>9</v>
      </c>
      <c r="CU23" s="28">
        <f>WORKDAY(CU24,$A23,$AM$41:$AM$70)</f>
        <v>9</v>
      </c>
      <c r="CV23" s="28">
        <f>WORKDAY(CV24,$A23,$AM$41:$AM$70)</f>
        <v>9</v>
      </c>
      <c r="CW23" s="28">
        <f>WORKDAY(CW24,$A23,$AM$41:$AM$70)</f>
        <v>9</v>
      </c>
      <c r="CX23" s="28">
        <f>WORKDAY(CX24,$A23,$AM$41:$AM$70)</f>
        <v>9</v>
      </c>
      <c r="CY23" s="28">
        <f>WORKDAY(CY24,$A23,$AM$41:$AM$70)</f>
        <v>9</v>
      </c>
      <c r="CZ23" s="28">
        <f>WORKDAY(CZ24,$A23,$AM$41:$AM$70)</f>
        <v>9</v>
      </c>
      <c r="DA23" s="28">
        <f>WORKDAY(DA24,$A23,$AM$41:$AM$70)</f>
        <v>9</v>
      </c>
      <c r="DB23" s="28">
        <f>WORKDAY(DB24,$A23,$AM$41:$AM$70)</f>
        <v>9</v>
      </c>
      <c r="DC23" s="28">
        <f>WORKDAY(DC24,$A23,$AM$41:$AM$70)</f>
        <v>9</v>
      </c>
      <c r="DD23" s="28">
        <f>WORKDAY(DD24,$A23,$AM$41:$AM$70)</f>
        <v>9</v>
      </c>
      <c r="DE23" s="28">
        <f>WORKDAY(DE24,$A23,$AM$41:$AM$70)</f>
        <v>9</v>
      </c>
    </row>
    <row r="24" spans="1:109" ht="12.6" customHeight="1" x14ac:dyDescent="0.2">
      <c r="A24" s="26">
        <v>2</v>
      </c>
      <c r="B24" s="33" t="s">
        <v>23</v>
      </c>
      <c r="C24" s="30">
        <f>WORKDAY(C25,$A24,$AM$41:$AM$70)</f>
        <v>42450</v>
      </c>
      <c r="D24" s="30">
        <f>WORKDAY(D25,$A24,$AM$41:$AM$70)</f>
        <v>42453</v>
      </c>
      <c r="E24" s="30">
        <f>WORKDAY(E25,$A24,$AM$41:$AM$70)</f>
        <v>42452</v>
      </c>
      <c r="F24" s="30">
        <f>WORKDAY(F25,$A24,$AM$41:$AM$70)</f>
        <v>42445</v>
      </c>
      <c r="G24" s="30">
        <f>WORKDAY(G25,$A24,$AM$41:$AM$70)</f>
        <v>42439</v>
      </c>
      <c r="H24" s="30">
        <f>WORKDAY(H25,$A24,$AM$41:$AM$70)</f>
        <v>42488</v>
      </c>
      <c r="I24" s="30">
        <f>WORKDAY(I25,$A24,$AM$41:$AM$70)</f>
        <v>42472</v>
      </c>
      <c r="J24" s="30">
        <f>WORKDAY(J25,$A24,$AM$41:$AM$70)</f>
        <v>42473</v>
      </c>
      <c r="K24" s="30">
        <f>WORKDAY(K25,$A24,$AM$41:$AM$70)</f>
        <v>42450</v>
      </c>
      <c r="L24" s="30">
        <f>WORKDAY(L25,$A24,$AM$41:$AM$70)</f>
        <v>42496</v>
      </c>
      <c r="M24" s="30">
        <f>WORKDAY(M25,$A24,$AM$41:$AM$70)</f>
        <v>42496</v>
      </c>
      <c r="N24" s="30">
        <f>WORKDAY(N25,$A24,$AM$41:$AM$70)</f>
        <v>42499</v>
      </c>
      <c r="O24" s="30">
        <f>WORKDAY(O25,$A24,$AM$41:$AM$70)</f>
        <v>42459</v>
      </c>
      <c r="P24" s="30">
        <f>WORKDAY(P25,$A24,$AM$41:$AM$70)</f>
        <v>42457</v>
      </c>
      <c r="Q24" s="30">
        <f>WORKDAY(Q25,$A24,$AM$41:$AM$70)</f>
        <v>42423</v>
      </c>
      <c r="R24" s="30">
        <f>WORKDAY(R25,$A24,$AM$41:$AM$70)</f>
        <v>42431</v>
      </c>
      <c r="S24" s="30">
        <f>WORKDAY(S25,$A24,$AM$41:$AM$70)</f>
        <v>42473</v>
      </c>
      <c r="T24" s="30">
        <f>WORKDAY(T25,$A24,$AM$41:$AM$70)</f>
        <v>42457</v>
      </c>
      <c r="U24" s="30">
        <f>WORKDAY(U25,$A24,$AM$41:$AM$70)</f>
        <v>42472</v>
      </c>
      <c r="V24" s="30">
        <f>WORKDAY(V25,$A24,$AM$41:$AM$70)</f>
        <v>42499</v>
      </c>
      <c r="W24" s="30">
        <f>WORKDAY(W25,$A24,$AM$41:$AM$70)</f>
        <v>42499</v>
      </c>
      <c r="X24" s="30">
        <f>WORKDAY(X25,$A24,$AM$41:$AM$70)</f>
        <v>42499</v>
      </c>
      <c r="Y24" s="30">
        <f>WORKDAY(Y25,$A24,$AM$41:$AM$70)</f>
        <v>42426</v>
      </c>
      <c r="Z24" s="30">
        <f>WORKDAY(Z25,$A24,$AM$41:$AM$70)</f>
        <v>42473</v>
      </c>
      <c r="AA24" s="30">
        <f>WORKDAY(AA25,$A24,$AM$41:$AM$70)</f>
        <v>42499</v>
      </c>
      <c r="AB24" s="30">
        <f>WORKDAY(AB25,$A24,$AM$41:$AM$70)</f>
        <v>42445</v>
      </c>
      <c r="AC24" s="30">
        <f>WORKDAY(AC25,$A24,$AM$41:$AM$70)</f>
        <v>42475</v>
      </c>
      <c r="AD24" s="30">
        <f>WORKDAY(AD25,$A24,$AM$41:$AM$70)</f>
        <v>42499</v>
      </c>
      <c r="AE24" s="30">
        <f>WORKDAY(AE25,$A24,$AM$41:$AM$70)</f>
        <v>42499</v>
      </c>
      <c r="AF24" s="30">
        <f>WORKDAY(AF25,$A24,$AM$41:$AM$70)</f>
        <v>42450</v>
      </c>
      <c r="AG24" s="30">
        <f>WORKDAY(AG25,$A24,$AM$41:$AM$70)</f>
        <v>42499</v>
      </c>
      <c r="AH24" s="30">
        <f>WORKDAY(AH25,$A24,$AM$41:$AM$70)</f>
        <v>42499</v>
      </c>
      <c r="AI24" s="30">
        <f>WORKDAY(AI25,$A24,$AM$41:$AM$70)</f>
        <v>42499</v>
      </c>
      <c r="AJ24" s="30">
        <f>WORKDAY(AJ25,$A24,$AM$41:$AM$70)</f>
        <v>42452</v>
      </c>
      <c r="AK24" s="30">
        <f>WORKDAY(AK25,$A24,$AM$41:$AM$70)</f>
        <v>42445</v>
      </c>
      <c r="AL24" s="30">
        <v>42427</v>
      </c>
      <c r="AM24" s="30">
        <f>WORKDAY(AM25,$A24,$AM$41:$AM$70)</f>
        <v>42432</v>
      </c>
      <c r="AN24" s="30">
        <f>WORKDAY(AN25,$A24,$AM$41:$AM$70)</f>
        <v>42437</v>
      </c>
      <c r="AO24" s="30">
        <f>WORKDAY(AO25,$A24,$AM$41:$AM$70)</f>
        <v>42464</v>
      </c>
      <c r="AP24" s="30">
        <f>WORKDAY(AP25,$A24,$AM$41:$AM$70)</f>
        <v>42499</v>
      </c>
      <c r="AQ24" s="30">
        <f>WORKDAY(AQ25,$A24,$AM$41:$AM$70)</f>
        <v>42499</v>
      </c>
      <c r="AR24" s="30">
        <f>WORKDAY(AR25,$A24,$AM$41:$AM$70)</f>
        <v>42451</v>
      </c>
      <c r="AS24" s="30">
        <f>WORKDAY(AS25,$A24,$AM$41:$AM$70)</f>
        <v>42473</v>
      </c>
      <c r="AT24" s="30">
        <f>WORKDAY(AT25,$A24,$AM$41:$AM$70)</f>
        <v>42467</v>
      </c>
      <c r="AU24" s="30">
        <f>WORKDAY(AU25,$A24,$AM$41:$AM$70)</f>
        <v>42499</v>
      </c>
      <c r="AV24" s="28">
        <f>WORKDAY(AV25,$A24,$AM$41:$AM$70)</f>
        <v>42472</v>
      </c>
      <c r="AW24" s="28">
        <f>WORKDAY(AW25,$A24,$AM$41:$AM$70)</f>
        <v>42473</v>
      </c>
      <c r="AX24" s="28">
        <f>WORKDAY(AX25,$A24,$AM$41:$AM$70)</f>
        <v>42473</v>
      </c>
      <c r="AY24" s="28">
        <f>WORKDAY(AY25,$A24,$AM$41:$AM$70)</f>
        <v>42452</v>
      </c>
      <c r="AZ24" s="28">
        <f>WORKDAY(AZ25,$A24,$AM$41:$AM$70)</f>
        <v>42424</v>
      </c>
      <c r="BA24" s="28">
        <f>WORKDAY(BA25,$A24,$AM$41:$AM$70)</f>
        <v>42461</v>
      </c>
      <c r="BB24" s="28">
        <f>WORKDAY(BB25,$A24,$AM$41:$AM$70)</f>
        <v>42444</v>
      </c>
      <c r="BC24" s="28">
        <f>WORKDAY(BC25,$A24,$AM$41:$AM$70)</f>
        <v>42473</v>
      </c>
      <c r="BD24" s="28">
        <f>WORKDAY(BD25,$A24,$AM$41:$AM$70)</f>
        <v>42499</v>
      </c>
      <c r="BE24" s="28">
        <f>WORKDAY(BE25,$A24,$AM$41:$AM$70)</f>
        <v>42499</v>
      </c>
      <c r="BF24" s="28">
        <f>WORKDAY(BF25,$A24,$AM$41:$AM$70)</f>
        <v>42499</v>
      </c>
      <c r="BG24" s="28">
        <f>WORKDAY(BG25,$A24,$AM$41:$AM$70)</f>
        <v>42499</v>
      </c>
      <c r="BH24" s="28">
        <f>WORKDAY(BH25,$A24,$AM$41:$AM$70)</f>
        <v>42499</v>
      </c>
      <c r="BI24" s="28">
        <f>WORKDAY(BI25,$A24,$AM$41:$AM$70)</f>
        <v>42499</v>
      </c>
      <c r="BJ24" s="28">
        <f>WORKDAY(BJ25,$A24,$AM$41:$AM$70)</f>
        <v>42499</v>
      </c>
      <c r="BK24" s="28">
        <f>WORKDAY(BK25,$A24,$AM$41:$AM$70)</f>
        <v>42499</v>
      </c>
      <c r="BL24" s="28">
        <f>WORKDAY(BL25,$A24,$AM$41:$AM$70)</f>
        <v>42499</v>
      </c>
      <c r="BM24" s="28">
        <f>WORKDAY(BM25,$A24,$AM$41:$AM$70)</f>
        <v>42499</v>
      </c>
      <c r="BN24" s="28">
        <f>WORKDAY(BN25,$A24,$AM$41:$AM$70)</f>
        <v>42499</v>
      </c>
      <c r="BO24" s="28">
        <f>WORKDAY(BO25,$A24,$AM$41:$AM$70)</f>
        <v>5</v>
      </c>
      <c r="BP24" s="28">
        <f>WORKDAY(BP25,$A24,$AM$41:$AM$70)</f>
        <v>5</v>
      </c>
      <c r="BQ24" s="28">
        <f>WORKDAY(BQ25,$A24,$AM$41:$AM$70)</f>
        <v>5</v>
      </c>
      <c r="BR24" s="28">
        <f>WORKDAY(BR25,$A24,$AM$41:$AM$70)</f>
        <v>5</v>
      </c>
      <c r="BS24" s="28">
        <f>WORKDAY(BS25,$A24,$AM$41:$AM$70)</f>
        <v>5</v>
      </c>
      <c r="BT24" s="28">
        <f>WORKDAY(BT25,$A24,$AM$41:$AM$70)</f>
        <v>5</v>
      </c>
      <c r="BU24" s="28">
        <f>WORKDAY(BU25,$A24,$AM$41:$AM$70)</f>
        <v>5</v>
      </c>
      <c r="BV24" s="28">
        <f>WORKDAY(BV25,$A24,$AM$41:$AM$70)</f>
        <v>5</v>
      </c>
      <c r="BW24" s="28">
        <f>WORKDAY(BW25,$A24,$AM$41:$AM$70)</f>
        <v>5</v>
      </c>
      <c r="BX24" s="28">
        <f>WORKDAY(BX25,$A24,$AM$41:$AM$70)</f>
        <v>5</v>
      </c>
      <c r="BY24" s="28">
        <f>WORKDAY(BY25,$A24,$AM$41:$AM$70)</f>
        <v>5</v>
      </c>
      <c r="BZ24" s="28">
        <f>WORKDAY(BZ25,$A24,$AM$41:$AM$70)</f>
        <v>5</v>
      </c>
      <c r="CA24" s="28">
        <f>WORKDAY(CA25,$A24,$AM$41:$AM$70)</f>
        <v>5</v>
      </c>
      <c r="CB24" s="28">
        <f>WORKDAY(CB25,$A24,$AM$41:$AM$70)</f>
        <v>5</v>
      </c>
      <c r="CC24" s="28">
        <f>WORKDAY(CC25,$A24,$AM$41:$AM$70)</f>
        <v>5</v>
      </c>
      <c r="CD24" s="28">
        <f>WORKDAY(CD25,$A24,$AM$41:$AM$70)</f>
        <v>5</v>
      </c>
      <c r="CE24" s="28">
        <f>WORKDAY(CE25,$A24,$AM$41:$AM$70)</f>
        <v>5</v>
      </c>
      <c r="CF24" s="28">
        <f>WORKDAY(CF25,$A24,$AM$41:$AM$70)</f>
        <v>5</v>
      </c>
      <c r="CG24" s="28">
        <f>WORKDAY(CG25,$A24,$AM$41:$AM$70)</f>
        <v>5</v>
      </c>
      <c r="CH24" s="28">
        <f>WORKDAY(CH25,$A24,$AM$41:$AM$70)</f>
        <v>5</v>
      </c>
      <c r="CI24" s="28">
        <f>WORKDAY(CI25,$A24,$AM$41:$AM$70)</f>
        <v>5</v>
      </c>
      <c r="CJ24" s="28">
        <f>WORKDAY(CJ25,$A24,$AM$41:$AM$70)</f>
        <v>5</v>
      </c>
      <c r="CK24" s="28">
        <f>WORKDAY(CK25,$A24,$AM$41:$AM$70)</f>
        <v>5</v>
      </c>
      <c r="CL24" s="28">
        <f>WORKDAY(CL25,$A24,$AM$41:$AM$70)</f>
        <v>5</v>
      </c>
      <c r="CM24" s="28">
        <f>WORKDAY(CM25,$A24,$AM$41:$AM$70)</f>
        <v>5</v>
      </c>
      <c r="CN24" s="28">
        <f>WORKDAY(CN25,$A24,$AM$41:$AM$70)</f>
        <v>5</v>
      </c>
      <c r="CO24" s="28">
        <f>WORKDAY(CO25,$A24,$AM$41:$AM$70)</f>
        <v>5</v>
      </c>
      <c r="CP24" s="28">
        <f>WORKDAY(CP25,$A24,$AM$41:$AM$70)</f>
        <v>5</v>
      </c>
      <c r="CQ24" s="28">
        <f>WORKDAY(CQ25,$A24,$AM$41:$AM$70)</f>
        <v>5</v>
      </c>
      <c r="CR24" s="28">
        <f>WORKDAY(CR25,$A24,$AM$41:$AM$70)</f>
        <v>5</v>
      </c>
      <c r="CS24" s="28">
        <f>WORKDAY(CS25,$A24,$AM$41:$AM$70)</f>
        <v>5</v>
      </c>
      <c r="CT24" s="28">
        <f>WORKDAY(CT25,$A24,$AM$41:$AM$70)</f>
        <v>5</v>
      </c>
      <c r="CU24" s="28">
        <f>WORKDAY(CU25,$A24,$AM$41:$AM$70)</f>
        <v>5</v>
      </c>
      <c r="CV24" s="28">
        <f>WORKDAY(CV25,$A24,$AM$41:$AM$70)</f>
        <v>5</v>
      </c>
      <c r="CW24" s="28">
        <f>WORKDAY(CW25,$A24,$AM$41:$AM$70)</f>
        <v>5</v>
      </c>
      <c r="CX24" s="28">
        <f>WORKDAY(CX25,$A24,$AM$41:$AM$70)</f>
        <v>5</v>
      </c>
      <c r="CY24" s="28">
        <f>WORKDAY(CY25,$A24,$AM$41:$AM$70)</f>
        <v>5</v>
      </c>
      <c r="CZ24" s="28">
        <f>WORKDAY(CZ25,$A24,$AM$41:$AM$70)</f>
        <v>5</v>
      </c>
      <c r="DA24" s="28">
        <f>WORKDAY(DA25,$A24,$AM$41:$AM$70)</f>
        <v>5</v>
      </c>
      <c r="DB24" s="28">
        <f>WORKDAY(DB25,$A24,$AM$41:$AM$70)</f>
        <v>5</v>
      </c>
      <c r="DC24" s="28">
        <f>WORKDAY(DC25,$A24,$AM$41:$AM$70)</f>
        <v>5</v>
      </c>
      <c r="DD24" s="28">
        <f>WORKDAY(DD25,$A24,$AM$41:$AM$70)</f>
        <v>5</v>
      </c>
      <c r="DE24" s="28">
        <f>WORKDAY(DE25,$A24,$AM$41:$AM$70)</f>
        <v>5</v>
      </c>
    </row>
    <row r="25" spans="1:109" ht="12.6" customHeight="1" x14ac:dyDescent="0.2">
      <c r="A25" s="26">
        <v>1</v>
      </c>
      <c r="B25" s="34" t="s">
        <v>24</v>
      </c>
      <c r="C25" s="30">
        <v>42446</v>
      </c>
      <c r="D25" s="30">
        <v>42451</v>
      </c>
      <c r="E25" s="30">
        <v>42450</v>
      </c>
      <c r="F25" s="30">
        <v>42443</v>
      </c>
      <c r="G25" s="30">
        <v>42437</v>
      </c>
      <c r="H25" s="30">
        <f>WORKDAY(H26,$A25,$AM$41:$AM$70)</f>
        <v>42486</v>
      </c>
      <c r="I25" s="30">
        <v>42469</v>
      </c>
      <c r="J25" s="30">
        <v>42471</v>
      </c>
      <c r="K25" s="30">
        <v>42446</v>
      </c>
      <c r="L25" s="30">
        <f>WORKDAY(L26,$A25,$AM$41:$AM$70)</f>
        <v>42494</v>
      </c>
      <c r="M25" s="30">
        <f>WORKDAY(M26,$A25,$AM$41:$AM$70)</f>
        <v>42494</v>
      </c>
      <c r="N25" s="30">
        <f>WORKDAY(N26,$A25,$AM$41:$AM$70)</f>
        <v>42495</v>
      </c>
      <c r="O25" s="30">
        <v>42457</v>
      </c>
      <c r="P25" s="30">
        <v>42453</v>
      </c>
      <c r="Q25" s="30">
        <v>42419</v>
      </c>
      <c r="R25" s="30">
        <v>42429</v>
      </c>
      <c r="S25" s="30">
        <v>42471</v>
      </c>
      <c r="T25" s="30">
        <v>42453</v>
      </c>
      <c r="U25" s="30">
        <v>42469</v>
      </c>
      <c r="V25" s="30">
        <f>WORKDAY(V26,$A25,$AM$41:$AM$70)</f>
        <v>42495</v>
      </c>
      <c r="W25" s="30">
        <f>WORKDAY(W26,$A25,$AM$41:$AM$70)</f>
        <v>42495</v>
      </c>
      <c r="X25" s="30">
        <f>WORKDAY(X26,$A25,$AM$41:$AM$70)</f>
        <v>42495</v>
      </c>
      <c r="Y25" s="30">
        <v>42424</v>
      </c>
      <c r="Z25" s="30">
        <v>42471</v>
      </c>
      <c r="AA25" s="30">
        <f>WORKDAY(AA26,$A25,$AM$41:$AM$70)</f>
        <v>42495</v>
      </c>
      <c r="AB25" s="30">
        <v>42443</v>
      </c>
      <c r="AC25" s="30">
        <v>42473</v>
      </c>
      <c r="AD25" s="30">
        <f>WORKDAY(AD26,$A25,$AM$41:$AM$70)</f>
        <v>42495</v>
      </c>
      <c r="AE25" s="30">
        <f>WORKDAY(AE26,$A25,$AM$41:$AM$70)</f>
        <v>42495</v>
      </c>
      <c r="AF25" s="30">
        <v>42446</v>
      </c>
      <c r="AG25" s="30">
        <f>WORKDAY(AG26,$A25,$AM$41:$AM$70)</f>
        <v>42495</v>
      </c>
      <c r="AH25" s="30">
        <f>WORKDAY(AH26,$A25,$AM$41:$AM$70)</f>
        <v>42495</v>
      </c>
      <c r="AI25" s="30">
        <f>WORKDAY(AI26,$A25,$AM$41:$AM$70)</f>
        <v>42495</v>
      </c>
      <c r="AJ25" s="30">
        <v>42450</v>
      </c>
      <c r="AK25" s="30">
        <f>WORKDAY(AK26,$A25,$AM$41:$AM$70)</f>
        <v>42443</v>
      </c>
      <c r="AL25" s="30">
        <v>42427</v>
      </c>
      <c r="AM25" s="30">
        <v>42430</v>
      </c>
      <c r="AN25" s="30">
        <v>42433</v>
      </c>
      <c r="AO25" s="30">
        <v>42460</v>
      </c>
      <c r="AP25" s="30">
        <f>WORKDAY(AP26,$A25,$AM$41:$AM$70)</f>
        <v>42495</v>
      </c>
      <c r="AQ25" s="30">
        <f>WORKDAY(AQ26,$A25,$AM$41:$AM$70)</f>
        <v>42495</v>
      </c>
      <c r="AR25" s="30">
        <v>42448</v>
      </c>
      <c r="AS25" s="30">
        <v>42471</v>
      </c>
      <c r="AT25" s="30">
        <f>WORKDAY(AT26,$A25,$AM$41:$AM$70)</f>
        <v>42465</v>
      </c>
      <c r="AU25" s="30">
        <f>WORKDAY(AU26,$A25,$AM$41:$AM$70)</f>
        <v>42495</v>
      </c>
      <c r="AV25" s="30">
        <v>42469</v>
      </c>
      <c r="AW25" s="30">
        <v>42471</v>
      </c>
      <c r="AX25" s="30">
        <v>42471</v>
      </c>
      <c r="AY25" s="30">
        <v>42450</v>
      </c>
      <c r="AZ25" s="30">
        <v>42422</v>
      </c>
      <c r="BA25" s="30">
        <v>42459</v>
      </c>
      <c r="BB25" s="30">
        <v>42441</v>
      </c>
      <c r="BC25" s="30">
        <v>42471</v>
      </c>
      <c r="BD25" s="30">
        <f>WORKDAY(BD26,$A25,$AM$41:$AM$70)</f>
        <v>42495</v>
      </c>
      <c r="BE25" s="30">
        <f>WORKDAY(BE26,$A25,$AM$41:$AM$70)</f>
        <v>42495</v>
      </c>
      <c r="BF25" s="30">
        <f>WORKDAY(BF26,$A25,$AM$41:$AM$70)</f>
        <v>42495</v>
      </c>
      <c r="BG25" s="30">
        <f>WORKDAY(BG26,$A25,$AM$41:$AM$70)</f>
        <v>42495</v>
      </c>
      <c r="BH25" s="30">
        <f>WORKDAY(BH26,$A25,$AM$41:$AM$70)</f>
        <v>42495</v>
      </c>
      <c r="BI25" s="30">
        <f>WORKDAY(BI26,$A25,$AM$41:$AM$70)</f>
        <v>42495</v>
      </c>
      <c r="BJ25" s="30">
        <f>WORKDAY(BJ26,$A25,$AM$41:$AM$70)</f>
        <v>42495</v>
      </c>
      <c r="BK25" s="30">
        <f>WORKDAY(BK26,$A25,$AM$41:$AM$70)</f>
        <v>42495</v>
      </c>
      <c r="BL25" s="30">
        <f>WORKDAY(BL26,$A25,$AM$41:$AM$70)</f>
        <v>42495</v>
      </c>
      <c r="BM25" s="30">
        <f>WORKDAY(BM26,$A25,$AM$41:$AM$70)</f>
        <v>42495</v>
      </c>
      <c r="BN25" s="30">
        <f>WORKDAY(BN26,$A25,$AM$41:$AM$70)</f>
        <v>42495</v>
      </c>
      <c r="BO25" s="28">
        <f>WORKDAY(BO26,$A25,$AM$41:$AM$70)</f>
        <v>3</v>
      </c>
      <c r="BP25" s="28">
        <f>WORKDAY(BP26,$A25,$AM$41:$AM$70)</f>
        <v>3</v>
      </c>
      <c r="BQ25" s="28">
        <f>WORKDAY(BQ26,$A25,$AM$41:$AM$70)</f>
        <v>3</v>
      </c>
      <c r="BR25" s="28">
        <f>WORKDAY(BR26,$A25,$AM$41:$AM$70)</f>
        <v>3</v>
      </c>
      <c r="BS25" s="28">
        <f>WORKDAY(BS26,$A25,$AM$41:$AM$70)</f>
        <v>3</v>
      </c>
      <c r="BT25" s="28">
        <f>WORKDAY(BT26,$A25,$AM$41:$AM$70)</f>
        <v>3</v>
      </c>
      <c r="BU25" s="28">
        <f>WORKDAY(BU26,$A25,$AM$41:$AM$70)</f>
        <v>3</v>
      </c>
      <c r="BV25" s="28">
        <f>WORKDAY(BV26,$A25,$AM$41:$AM$70)</f>
        <v>3</v>
      </c>
      <c r="BW25" s="28">
        <f>WORKDAY(BW26,$A25,$AM$41:$AM$70)</f>
        <v>3</v>
      </c>
      <c r="BX25" s="28">
        <f>WORKDAY(BX26,$A25,$AM$41:$AM$70)</f>
        <v>3</v>
      </c>
      <c r="BY25" s="28">
        <f>WORKDAY(BY26,$A25,$AM$41:$AM$70)</f>
        <v>3</v>
      </c>
      <c r="BZ25" s="28">
        <f>WORKDAY(BZ26,$A25,$AM$41:$AM$70)</f>
        <v>3</v>
      </c>
      <c r="CA25" s="28">
        <f>WORKDAY(CA26,$A25,$AM$41:$AM$70)</f>
        <v>3</v>
      </c>
      <c r="CB25" s="28">
        <f>WORKDAY(CB26,$A25,$AM$41:$AM$70)</f>
        <v>3</v>
      </c>
      <c r="CC25" s="28">
        <f>WORKDAY(CC26,$A25,$AM$41:$AM$70)</f>
        <v>3</v>
      </c>
      <c r="CD25" s="28">
        <f>WORKDAY(CD26,$A25,$AM$41:$AM$70)</f>
        <v>3</v>
      </c>
      <c r="CE25" s="28">
        <f>WORKDAY(CE26,$A25,$AM$41:$AM$70)</f>
        <v>3</v>
      </c>
      <c r="CF25" s="28">
        <f>WORKDAY(CF26,$A25,$AM$41:$AM$70)</f>
        <v>3</v>
      </c>
      <c r="CG25" s="28">
        <f>WORKDAY(CG26,$A25,$AM$41:$AM$70)</f>
        <v>3</v>
      </c>
      <c r="CH25" s="28">
        <f>WORKDAY(CH26,$A25,$AM$41:$AM$70)</f>
        <v>3</v>
      </c>
      <c r="CI25" s="28">
        <f>WORKDAY(CI26,$A25,$AM$41:$AM$70)</f>
        <v>3</v>
      </c>
      <c r="CJ25" s="28">
        <f>WORKDAY(CJ26,$A25,$AM$41:$AM$70)</f>
        <v>3</v>
      </c>
      <c r="CK25" s="28">
        <f>WORKDAY(CK26,$A25,$AM$41:$AM$70)</f>
        <v>3</v>
      </c>
      <c r="CL25" s="28">
        <f>WORKDAY(CL26,$A25,$AM$41:$AM$70)</f>
        <v>3</v>
      </c>
      <c r="CM25" s="28">
        <f>WORKDAY(CM26,$A25,$AM$41:$AM$70)</f>
        <v>3</v>
      </c>
      <c r="CN25" s="28">
        <f>WORKDAY(CN26,$A25,$AM$41:$AM$70)</f>
        <v>3</v>
      </c>
      <c r="CO25" s="28">
        <f>WORKDAY(CO26,$A25,$AM$41:$AM$70)</f>
        <v>3</v>
      </c>
      <c r="CP25" s="28">
        <f>WORKDAY(CP26,$A25,$AM$41:$AM$70)</f>
        <v>3</v>
      </c>
      <c r="CQ25" s="28">
        <f>WORKDAY(CQ26,$A25,$AM$41:$AM$70)</f>
        <v>3</v>
      </c>
      <c r="CR25" s="28">
        <f>WORKDAY(CR26,$A25,$AM$41:$AM$70)</f>
        <v>3</v>
      </c>
      <c r="CS25" s="28">
        <f>WORKDAY(CS26,$A25,$AM$41:$AM$70)</f>
        <v>3</v>
      </c>
      <c r="CT25" s="28">
        <f>WORKDAY(CT26,$A25,$AM$41:$AM$70)</f>
        <v>3</v>
      </c>
      <c r="CU25" s="28">
        <f>WORKDAY(CU26,$A25,$AM$41:$AM$70)</f>
        <v>3</v>
      </c>
      <c r="CV25" s="28">
        <f>WORKDAY(CV26,$A25,$AM$41:$AM$70)</f>
        <v>3</v>
      </c>
      <c r="CW25" s="28">
        <f>WORKDAY(CW26,$A25,$AM$41:$AM$70)</f>
        <v>3</v>
      </c>
      <c r="CX25" s="28">
        <f>WORKDAY(CX26,$A25,$AM$41:$AM$70)</f>
        <v>3</v>
      </c>
      <c r="CY25" s="28">
        <f>WORKDAY(CY26,$A25,$AM$41:$AM$70)</f>
        <v>3</v>
      </c>
      <c r="CZ25" s="28">
        <f>WORKDAY(CZ26,$A25,$AM$41:$AM$70)</f>
        <v>3</v>
      </c>
      <c r="DA25" s="28">
        <f>WORKDAY(DA26,$A25,$AM$41:$AM$70)</f>
        <v>3</v>
      </c>
      <c r="DB25" s="28">
        <f>WORKDAY(DB26,$A25,$AM$41:$AM$70)</f>
        <v>3</v>
      </c>
      <c r="DC25" s="28">
        <f>WORKDAY(DC26,$A25,$AM$41:$AM$70)</f>
        <v>3</v>
      </c>
      <c r="DD25" s="28">
        <f>WORKDAY(DD26,$A25,$AM$41:$AM$70)</f>
        <v>3</v>
      </c>
      <c r="DE25" s="28">
        <f>WORKDAY(DE26,$A25,$AM$41:$AM$70)</f>
        <v>3</v>
      </c>
    </row>
    <row r="26" spans="1:109" ht="12.6" customHeight="1" x14ac:dyDescent="0.2">
      <c r="A26" s="26">
        <v>1</v>
      </c>
      <c r="B26" s="32" t="s">
        <v>25</v>
      </c>
      <c r="C26" s="30">
        <f>WORKDAY(C27,$A26,$AM$41:$AM$70)</f>
        <v>42478</v>
      </c>
      <c r="D26" s="30">
        <f>WORKDAY(D27,$A26,$AM$41:$AM$70)</f>
        <v>42480</v>
      </c>
      <c r="E26" s="30">
        <f>WORKDAY(E27,$A26,$AM$41:$AM$70)</f>
        <v>42480</v>
      </c>
      <c r="F26" s="30">
        <f>WORKDAY(F27,$A26,$AM$41:$AM$70)</f>
        <v>42478</v>
      </c>
      <c r="G26" s="30">
        <f>WORKDAY(G27,$A26,$AM$41:$AM$70)</f>
        <v>42485</v>
      </c>
      <c r="H26" s="30">
        <f>WORKDAY(H27,$A26,$AM$41:$AM$70)</f>
        <v>42485</v>
      </c>
      <c r="I26" s="30">
        <f>WORKDAY(I27,$A26,$AM$41:$AM$70)</f>
        <v>42488</v>
      </c>
      <c r="J26" s="30">
        <f>WORKDAY(J27,$A26,$AM$41:$AM$70)</f>
        <v>42489</v>
      </c>
      <c r="K26" s="30">
        <f>WORKDAY(K27,$A26,$AM$41:$AM$70)</f>
        <v>42489</v>
      </c>
      <c r="L26" s="30">
        <f>WORKDAY(L27,$A26,$AM$41:$AM$70)</f>
        <v>42493</v>
      </c>
      <c r="M26" s="30">
        <f>WORKDAY(M27,$A26,$AM$41:$AM$70)</f>
        <v>42493</v>
      </c>
      <c r="N26" s="30">
        <f>WORKDAY(N27,$A26,$AM$41:$AM$70)</f>
        <v>42494</v>
      </c>
      <c r="O26" s="30">
        <f>WORKDAY(O27,$A26,$AM$41:$AM$70)</f>
        <v>42494</v>
      </c>
      <c r="P26" s="30">
        <f>WORKDAY(P27,$A26,$AM$41:$AM$70)</f>
        <v>42494</v>
      </c>
      <c r="Q26" s="30">
        <f>WORKDAY(Q27,$A26,$AM$41:$AM$70)</f>
        <v>42474</v>
      </c>
      <c r="R26" s="30">
        <f>WORKDAY(R27,$A26,$AM$41:$AM$70)</f>
        <v>42480</v>
      </c>
      <c r="S26" s="30">
        <f>WORKDAY(S27,$A26,$AM$41:$AM$70)</f>
        <v>42494</v>
      </c>
      <c r="T26" s="30">
        <f>WORKDAY(T27,$A26,$AM$41:$AM$70)</f>
        <v>42478</v>
      </c>
      <c r="U26" s="30">
        <f>WORKDAY(U27,$A26,$AM$41:$AM$70)</f>
        <v>42494</v>
      </c>
      <c r="V26" s="30">
        <f>WORKDAY(V27,$A26,$AM$41:$AM$70)</f>
        <v>42494</v>
      </c>
      <c r="W26" s="30">
        <f>WORKDAY(W27,$A26,$AM$41:$AM$70)</f>
        <v>42494</v>
      </c>
      <c r="X26" s="30">
        <f>WORKDAY(X27,$A26,$AM$41:$AM$70)</f>
        <v>42494</v>
      </c>
      <c r="Y26" s="30">
        <f>WORKDAY(Y27,$A26,$AM$41:$AM$70)</f>
        <v>42494</v>
      </c>
      <c r="Z26" s="30">
        <f>WORKDAY(Z27,$A26,$AM$41:$AM$70)</f>
        <v>42494</v>
      </c>
      <c r="AA26" s="30">
        <f>WORKDAY(AA27,$A26,$AM$41:$AM$70)</f>
        <v>42494</v>
      </c>
      <c r="AB26" s="30">
        <f>WORKDAY(AB27,$A26,$AM$41:$AM$70)</f>
        <v>42494</v>
      </c>
      <c r="AC26" s="30">
        <f>WORKDAY(AC27,$A26,$AM$41:$AM$70)</f>
        <v>42494</v>
      </c>
      <c r="AD26" s="30">
        <f>WORKDAY(AD27,$A26,$AM$41:$AM$70)</f>
        <v>42494</v>
      </c>
      <c r="AE26" s="30">
        <f>WORKDAY(AE27,$A26,$AM$41:$AM$70)</f>
        <v>42494</v>
      </c>
      <c r="AF26" s="30">
        <f>WORKDAY(AF27,$A26,$AM$41:$AM$70)</f>
        <v>42494</v>
      </c>
      <c r="AG26" s="30">
        <f>WORKDAY(AG27,$A26,$AM$41:$AM$70)</f>
        <v>42494</v>
      </c>
      <c r="AH26" s="30">
        <f>WORKDAY(AH27,$A26,$AM$41:$AM$70)</f>
        <v>42494</v>
      </c>
      <c r="AI26" s="30">
        <f>WORKDAY(AI27,$A26,$AM$41:$AM$70)</f>
        <v>42494</v>
      </c>
      <c r="AJ26" s="30">
        <f>WORKDAY(AJ27,$A26,$AM$41:$AM$70)</f>
        <v>42474</v>
      </c>
      <c r="AK26" s="30">
        <v>42440</v>
      </c>
      <c r="AL26" s="30">
        <v>42440</v>
      </c>
      <c r="AM26" s="30">
        <v>42447</v>
      </c>
      <c r="AN26" s="30">
        <v>42434</v>
      </c>
      <c r="AO26" s="30">
        <f>WORKDAY(AO27,$A26,$AM$41:$AM$70)</f>
        <v>42485</v>
      </c>
      <c r="AP26" s="30">
        <f>WORKDAY(AP27,$A26,$AM$41:$AM$70)</f>
        <v>42494</v>
      </c>
      <c r="AQ26" s="30">
        <f>WORKDAY(AQ27,$A26,$AM$41:$AM$70)</f>
        <v>42494</v>
      </c>
      <c r="AR26" s="30">
        <f>WORKDAY(AR27,$A26,$AM$41:$AM$70)</f>
        <v>42494</v>
      </c>
      <c r="AS26" s="30">
        <f>WORKDAY(AS27,$A26,$AM$41:$AM$70)</f>
        <v>42494</v>
      </c>
      <c r="AT26" s="30">
        <f>WORKDAY(AT27,$A26,$AM$41:$AM$70)</f>
        <v>42464</v>
      </c>
      <c r="AU26" s="30">
        <f>WORKDAY(AU27,$A26,$AM$41:$AM$70)</f>
        <v>42494</v>
      </c>
      <c r="AV26" s="30">
        <f>WORKDAY(AV27,$A26,$AM$41:$AM$70)</f>
        <v>42487</v>
      </c>
      <c r="AW26" s="30">
        <f>WORKDAY(AW27,$A26,$AM$41:$AM$70)</f>
        <v>42487</v>
      </c>
      <c r="AX26" s="30">
        <f>WORKDAY(AX27,$A26,$AM$41:$AM$70)</f>
        <v>42494</v>
      </c>
      <c r="AY26" s="30">
        <f>WORKDAY(AY27,$A26,$AM$41:$AM$70)</f>
        <v>42494</v>
      </c>
      <c r="AZ26" s="30">
        <f>WORKDAY(AZ27,$A26,$AM$41:$AM$70)</f>
        <v>42494</v>
      </c>
      <c r="BA26" s="30">
        <f>WORKDAY(BA27,$A26,$AM$41:$AM$70)</f>
        <v>42494</v>
      </c>
      <c r="BB26" s="30">
        <f>WORKDAY(BB27,$A26,$AM$41:$AM$70)</f>
        <v>42494</v>
      </c>
      <c r="BC26" s="30">
        <f>WORKDAY(BC27,$A26,$AM$41:$AM$70)</f>
        <v>42494</v>
      </c>
      <c r="BD26" s="30">
        <f>WORKDAY(BD27,$A26,$AM$41:$AM$70)</f>
        <v>42494</v>
      </c>
      <c r="BE26" s="30">
        <f>WORKDAY(BE27,$A26,$AM$41:$AM$70)</f>
        <v>42494</v>
      </c>
      <c r="BF26" s="30">
        <f>WORKDAY(BF27,$A26,$AM$41:$AM$70)</f>
        <v>42494</v>
      </c>
      <c r="BG26" s="30">
        <f>WORKDAY(BG27,$A26,$AM$41:$AM$70)</f>
        <v>42494</v>
      </c>
      <c r="BH26" s="30">
        <f>WORKDAY(BH27,$A26,$AM$41:$AM$70)</f>
        <v>42494</v>
      </c>
      <c r="BI26" s="30">
        <f>WORKDAY(BI27,$A26,$AM$41:$AM$70)</f>
        <v>42494</v>
      </c>
      <c r="BJ26" s="30">
        <f>WORKDAY(BJ27,$A26,$AM$41:$AM$70)</f>
        <v>42494</v>
      </c>
      <c r="BK26" s="30">
        <f>WORKDAY(BK27,$A26,$AM$41:$AM$70)</f>
        <v>42494</v>
      </c>
      <c r="BL26" s="30">
        <f>WORKDAY(BL27,$A26,$AM$41:$AM$70)</f>
        <v>42494</v>
      </c>
      <c r="BM26" s="30">
        <f>WORKDAY(BM27,$A26,$AM$41:$AM$70)</f>
        <v>42494</v>
      </c>
      <c r="BN26" s="30">
        <f>WORKDAY(BN27,$A26,$AM$41:$AM$70)</f>
        <v>42494</v>
      </c>
      <c r="BO26" s="28">
        <f>WORKDAY(BO27,$A26,$AM$41:$AM$70)</f>
        <v>2</v>
      </c>
      <c r="BP26" s="28">
        <f>WORKDAY(BP27,$A26,$AM$41:$AM$70)</f>
        <v>2</v>
      </c>
      <c r="BQ26" s="28">
        <f>WORKDAY(BQ27,$A26,$AM$41:$AM$70)</f>
        <v>2</v>
      </c>
      <c r="BR26" s="28">
        <f>WORKDAY(BR27,$A26,$AM$41:$AM$70)</f>
        <v>2</v>
      </c>
      <c r="BS26" s="28">
        <f>WORKDAY(BS27,$A26,$AM$41:$AM$70)</f>
        <v>2</v>
      </c>
      <c r="BT26" s="28">
        <f>WORKDAY(BT27,$A26,$AM$41:$AM$70)</f>
        <v>2</v>
      </c>
      <c r="BU26" s="28">
        <f>WORKDAY(BU27,$A26,$AM$41:$AM$70)</f>
        <v>2</v>
      </c>
      <c r="BV26" s="28">
        <f>WORKDAY(BV27,$A26,$AM$41:$AM$70)</f>
        <v>2</v>
      </c>
      <c r="BW26" s="28">
        <f>WORKDAY(BW27,$A26,$AM$41:$AM$70)</f>
        <v>2</v>
      </c>
      <c r="BX26" s="28">
        <f>WORKDAY(BX27,$A26,$AM$41:$AM$70)</f>
        <v>2</v>
      </c>
      <c r="BY26" s="28">
        <f>WORKDAY(BY27,$A26,$AM$41:$AM$70)</f>
        <v>2</v>
      </c>
      <c r="BZ26" s="28">
        <f>WORKDAY(BZ27,$A26,$AM$41:$AM$70)</f>
        <v>2</v>
      </c>
      <c r="CA26" s="28">
        <f>WORKDAY(CA27,$A26,$AM$41:$AM$70)</f>
        <v>2</v>
      </c>
      <c r="CB26" s="28">
        <f>WORKDAY(CB27,$A26,$AM$41:$AM$70)</f>
        <v>2</v>
      </c>
      <c r="CC26" s="28">
        <f>WORKDAY(CC27,$A26,$AM$41:$AM$70)</f>
        <v>2</v>
      </c>
      <c r="CD26" s="28">
        <f>WORKDAY(CD27,$A26,$AM$41:$AM$70)</f>
        <v>2</v>
      </c>
      <c r="CE26" s="28">
        <f>WORKDAY(CE27,$A26,$AM$41:$AM$70)</f>
        <v>2</v>
      </c>
      <c r="CF26" s="28">
        <f>WORKDAY(CF27,$A26,$AM$41:$AM$70)</f>
        <v>2</v>
      </c>
      <c r="CG26" s="28">
        <f>WORKDAY(CG27,$A26,$AM$41:$AM$70)</f>
        <v>2</v>
      </c>
      <c r="CH26" s="28">
        <f>WORKDAY(CH27,$A26,$AM$41:$AM$70)</f>
        <v>2</v>
      </c>
      <c r="CI26" s="28">
        <f>WORKDAY(CI27,$A26,$AM$41:$AM$70)</f>
        <v>2</v>
      </c>
      <c r="CJ26" s="28">
        <f>WORKDAY(CJ27,$A26,$AM$41:$AM$70)</f>
        <v>2</v>
      </c>
      <c r="CK26" s="28">
        <f>WORKDAY(CK27,$A26,$AM$41:$AM$70)</f>
        <v>2</v>
      </c>
      <c r="CL26" s="28">
        <f>WORKDAY(CL27,$A26,$AM$41:$AM$70)</f>
        <v>2</v>
      </c>
      <c r="CM26" s="28">
        <f>WORKDAY(CM27,$A26,$AM$41:$AM$70)</f>
        <v>2</v>
      </c>
      <c r="CN26" s="28">
        <f>WORKDAY(CN27,$A26,$AM$41:$AM$70)</f>
        <v>2</v>
      </c>
      <c r="CO26" s="28">
        <f>WORKDAY(CO27,$A26,$AM$41:$AM$70)</f>
        <v>2</v>
      </c>
      <c r="CP26" s="28">
        <f>WORKDAY(CP27,$A26,$AM$41:$AM$70)</f>
        <v>2</v>
      </c>
      <c r="CQ26" s="28">
        <f>WORKDAY(CQ27,$A26,$AM$41:$AM$70)</f>
        <v>2</v>
      </c>
      <c r="CR26" s="28">
        <f>WORKDAY(CR27,$A26,$AM$41:$AM$70)</f>
        <v>2</v>
      </c>
      <c r="CS26" s="28">
        <f>WORKDAY(CS27,$A26,$AM$41:$AM$70)</f>
        <v>2</v>
      </c>
      <c r="CT26" s="28">
        <f>WORKDAY(CT27,$A26,$AM$41:$AM$70)</f>
        <v>2</v>
      </c>
      <c r="CU26" s="28">
        <f>WORKDAY(CU27,$A26,$AM$41:$AM$70)</f>
        <v>2</v>
      </c>
      <c r="CV26" s="28">
        <f>WORKDAY(CV27,$A26,$AM$41:$AM$70)</f>
        <v>2</v>
      </c>
      <c r="CW26" s="28">
        <f>WORKDAY(CW27,$A26,$AM$41:$AM$70)</f>
        <v>2</v>
      </c>
      <c r="CX26" s="28">
        <f>WORKDAY(CX27,$A26,$AM$41:$AM$70)</f>
        <v>2</v>
      </c>
      <c r="CY26" s="28">
        <f>WORKDAY(CY27,$A26,$AM$41:$AM$70)</f>
        <v>2</v>
      </c>
      <c r="CZ26" s="28">
        <f>WORKDAY(CZ27,$A26,$AM$41:$AM$70)</f>
        <v>2</v>
      </c>
      <c r="DA26" s="28">
        <f>WORKDAY(DA27,$A26,$AM$41:$AM$70)</f>
        <v>2</v>
      </c>
      <c r="DB26" s="28">
        <f>WORKDAY(DB27,$A26,$AM$41:$AM$70)</f>
        <v>2</v>
      </c>
      <c r="DC26" s="28">
        <f>WORKDAY(DC27,$A26,$AM$41:$AM$70)</f>
        <v>2</v>
      </c>
      <c r="DD26" s="28">
        <f>WORKDAY(DD27,$A26,$AM$41:$AM$70)</f>
        <v>2</v>
      </c>
      <c r="DE26" s="28">
        <f>WORKDAY(DE27,$A26,$AM$41:$AM$70)</f>
        <v>2</v>
      </c>
    </row>
    <row r="27" spans="1:109" ht="12.6" hidden="1" customHeight="1" x14ac:dyDescent="0.2">
      <c r="A27" s="26"/>
      <c r="B27" s="35" t="s">
        <v>26</v>
      </c>
      <c r="C27" s="28">
        <f>WORKDAY(C28,$A27,$AM$41:$AM$70)</f>
        <v>42475</v>
      </c>
      <c r="D27" s="28">
        <f>WORKDAY(D28,$A27,$AM$41:$AM$70)</f>
        <v>42479</v>
      </c>
      <c r="E27" s="28">
        <f>WORKDAY(E28,$A27,$AM$41:$AM$70)</f>
        <v>42479</v>
      </c>
      <c r="F27" s="28">
        <f>WORKDAY(F28,$A27,$AM$41:$AM$70)</f>
        <v>42475</v>
      </c>
      <c r="G27" s="28">
        <f>WORKDAY(G28,$A27,$AM$41:$AM$70)</f>
        <v>42482</v>
      </c>
      <c r="H27" s="28">
        <f>WORKDAY(H28,$A27,$AM$41:$AM$70)</f>
        <v>42482</v>
      </c>
      <c r="I27" s="28">
        <f>WORKDAY(I28,$A27,$AM$41:$AM$70)</f>
        <v>42487</v>
      </c>
      <c r="J27" s="28">
        <f>WORKDAY(J28,$A27,$AM$41:$AM$70)</f>
        <v>42488</v>
      </c>
      <c r="K27" s="28">
        <f>WORKDAY(K28,$A27,$AM$41:$AM$70)</f>
        <v>42488</v>
      </c>
      <c r="L27" s="28">
        <f>WORKDAY(L28,$A27,$AM$41:$AM$70)</f>
        <v>42492</v>
      </c>
      <c r="M27" s="28">
        <f>WORKDAY(M28,$A27,$AM$41:$AM$70)</f>
        <v>42492</v>
      </c>
      <c r="N27" s="28">
        <f>WORKDAY(N28,$A27,$AM$41:$AM$70)</f>
        <v>42493</v>
      </c>
      <c r="O27" s="28">
        <f>WORKDAY(O28,$A27,$AM$41:$AM$70)</f>
        <v>42493</v>
      </c>
      <c r="P27" s="28">
        <f>WORKDAY(P28,$A27,$AM$41:$AM$70)</f>
        <v>42493</v>
      </c>
      <c r="Q27" s="28">
        <f>WORKDAY(Q28,$A27,$AM$41:$AM$70)</f>
        <v>42473</v>
      </c>
      <c r="R27" s="28">
        <f>WORKDAY(R28,$A27,$AM$41:$AM$70)</f>
        <v>42479</v>
      </c>
      <c r="S27" s="28">
        <f>WORKDAY(S28,$A27,$AM$41:$AM$70)</f>
        <v>42493</v>
      </c>
      <c r="T27" s="28">
        <f>WORKDAY(T28,$A27,$AM$41:$AM$70)</f>
        <v>42475</v>
      </c>
      <c r="U27" s="28">
        <f>WORKDAY(U28,$A27,$AM$41:$AM$70)</f>
        <v>42493</v>
      </c>
      <c r="V27" s="28">
        <f>WORKDAY(V28,$A27,$AM$41:$AM$70)</f>
        <v>42493</v>
      </c>
      <c r="W27" s="28">
        <f>WORKDAY(W28,$A27,$AM$41:$AM$70)</f>
        <v>42493</v>
      </c>
      <c r="X27" s="28">
        <f>WORKDAY(X28,$A27,$AM$41:$AM$70)</f>
        <v>42493</v>
      </c>
      <c r="Y27" s="28">
        <f>WORKDAY(Y28,$A27,$AM$41:$AM$70)</f>
        <v>42493</v>
      </c>
      <c r="Z27" s="28">
        <f>WORKDAY(Z28,$A27,$AM$41:$AM$70)</f>
        <v>42493</v>
      </c>
      <c r="AA27" s="28">
        <f>WORKDAY(AA28,$A27,$AM$41:$AM$70)</f>
        <v>42493</v>
      </c>
      <c r="AB27" s="28">
        <f>WORKDAY(AB28,$A27,$AM$41:$AM$70)</f>
        <v>42493</v>
      </c>
      <c r="AC27" s="28">
        <f>WORKDAY(AC28,$A27,$AM$41:$AM$70)</f>
        <v>42493</v>
      </c>
      <c r="AD27" s="28">
        <f>WORKDAY(AD28,$A27,$AM$41:$AM$70)</f>
        <v>42493</v>
      </c>
      <c r="AE27" s="28">
        <f>WORKDAY(AE28,$A27,$AM$41:$AM$70)</f>
        <v>42493</v>
      </c>
      <c r="AF27" s="28">
        <f>WORKDAY(AF28,$A27,$AM$41:$AM$70)</f>
        <v>42493</v>
      </c>
      <c r="AG27" s="28">
        <f>WORKDAY(AG28,$A27,$AM$41:$AM$70)</f>
        <v>42493</v>
      </c>
      <c r="AH27" s="28">
        <f>WORKDAY(AH28,$A27,$AM$41:$AM$70)</f>
        <v>42493</v>
      </c>
      <c r="AI27" s="30">
        <f>WORKDAY(AI28,$A27,$AM$41:$AM$70)</f>
        <v>42493</v>
      </c>
      <c r="AJ27" s="28">
        <f>WORKDAY(AJ28,$A27,$AM$41:$AM$70)</f>
        <v>42473</v>
      </c>
      <c r="AK27" s="36">
        <v>42410</v>
      </c>
      <c r="AL27" s="36">
        <v>42410</v>
      </c>
      <c r="AM27" s="30">
        <v>42410</v>
      </c>
      <c r="AN27" s="30">
        <v>42435</v>
      </c>
      <c r="AO27" s="28">
        <f>WORKDAY(AO28,$A27,$AM$41:$AM$70)</f>
        <v>42482</v>
      </c>
      <c r="AP27" s="28">
        <f>WORKDAY(AP28,$A27,$AM$41:$AM$70)</f>
        <v>42493</v>
      </c>
      <c r="AQ27" s="30">
        <f>WORKDAY(AQ28,$A27,$AM$41:$AM$70)</f>
        <v>42493</v>
      </c>
      <c r="AR27" s="28">
        <f>WORKDAY(AR28,$A27,$AM$41:$AM$70)</f>
        <v>42493</v>
      </c>
      <c r="AS27" s="28">
        <f>WORKDAY(AS28,$A27,$AM$41:$AM$70)</f>
        <v>42493</v>
      </c>
      <c r="AT27" s="28">
        <f>WORKDAY(AT28,$A27,$AM$41:$AM$70)</f>
        <v>42463</v>
      </c>
      <c r="AU27" s="28">
        <f>WORKDAY(AU28,$A27,$AM$41:$AM$70)</f>
        <v>42493</v>
      </c>
      <c r="AV27" s="28">
        <f>WORKDAY(AV28,$A27,$AM$41:$AM$70)</f>
        <v>42486</v>
      </c>
      <c r="AW27" s="28">
        <f>WORKDAY(AW28,$A27,$AM$41:$AM$70)</f>
        <v>42486</v>
      </c>
      <c r="AX27" s="28">
        <f>WORKDAY(AX28,$A27,$AM$41:$AM$70)</f>
        <v>42493</v>
      </c>
      <c r="AY27" s="28">
        <f>WORKDAY(AY28,$A27,$AM$41:$AM$70)</f>
        <v>42493</v>
      </c>
      <c r="AZ27" s="28">
        <f>WORKDAY(AZ28,$A27,$AM$41:$AM$70)</f>
        <v>42493</v>
      </c>
      <c r="BA27" s="28">
        <f>WORKDAY(BA28,$A27,$AM$41:$AM$70)</f>
        <v>42493</v>
      </c>
      <c r="BB27" s="28">
        <f>WORKDAY(BB28,$A27,$AM$41:$AM$70)</f>
        <v>42493</v>
      </c>
      <c r="BC27" s="28">
        <f>WORKDAY(BC28,$A27,$AM$41:$AM$70)</f>
        <v>42493</v>
      </c>
      <c r="BD27" s="28">
        <f>WORKDAY(BD28,$A27,$AM$41:$AM$70)</f>
        <v>42493</v>
      </c>
      <c r="BE27" s="28">
        <f>WORKDAY(BE28,$A27,$AM$41:$AM$70)</f>
        <v>42493</v>
      </c>
      <c r="BF27" s="28">
        <f>WORKDAY(BF28,$A27,$AM$41:$AM$70)</f>
        <v>42493</v>
      </c>
      <c r="BG27" s="28">
        <f>WORKDAY(BG28,$A27,$AM$41:$AM$70)</f>
        <v>42493</v>
      </c>
      <c r="BH27" s="28">
        <f>WORKDAY(BH28,$A27,$AM$41:$AM$70)</f>
        <v>42493</v>
      </c>
      <c r="BI27" s="28">
        <f>WORKDAY(BI28,$A27,$AM$41:$AM$70)</f>
        <v>42493</v>
      </c>
      <c r="BJ27" s="28">
        <f>WORKDAY(BJ28,$A27,$AM$41:$AM$70)</f>
        <v>42493</v>
      </c>
      <c r="BK27" s="28">
        <f>WORKDAY(BK28,$A27,$AM$41:$AM$70)</f>
        <v>42493</v>
      </c>
      <c r="BL27" s="28">
        <f>WORKDAY(BL28,$A27,$AM$41:$AM$70)</f>
        <v>42493</v>
      </c>
      <c r="BM27" s="28">
        <f>WORKDAY(BM28,$A27,$AM$41:$AM$70)</f>
        <v>42493</v>
      </c>
      <c r="BN27" s="28">
        <f>WORKDAY(BN28,$A27,$AM$41:$AM$70)</f>
        <v>42493</v>
      </c>
      <c r="BO27" s="28">
        <f>WORKDAY(BO28,$A27,$AM$41:$AM$70)</f>
        <v>0</v>
      </c>
      <c r="BP27" s="28">
        <f>WORKDAY(BP28,$A27,$AM$41:$AM$70)</f>
        <v>0</v>
      </c>
      <c r="BQ27" s="28">
        <f>WORKDAY(BQ28,$A27,$AM$41:$AM$70)</f>
        <v>0</v>
      </c>
      <c r="BR27" s="28">
        <f>WORKDAY(BR28,$A27,$AM$41:$AM$70)</f>
        <v>0</v>
      </c>
      <c r="BS27" s="28">
        <f>WORKDAY(BS28,$A27,$AM$41:$AM$70)</f>
        <v>0</v>
      </c>
      <c r="BT27" s="28">
        <f>WORKDAY(BT28,$A27,$AM$41:$AM$70)</f>
        <v>0</v>
      </c>
      <c r="BU27" s="28">
        <f>WORKDAY(BU28,$A27,$AM$41:$AM$70)</f>
        <v>0</v>
      </c>
      <c r="BV27" s="28">
        <f>WORKDAY(BV28,$A27,$AM$41:$AM$70)</f>
        <v>0</v>
      </c>
      <c r="BW27" s="28">
        <f>WORKDAY(BW28,$A27,$AM$41:$AM$70)</f>
        <v>0</v>
      </c>
      <c r="BX27" s="28">
        <f>WORKDAY(BX28,$A27,$AM$41:$AM$70)</f>
        <v>0</v>
      </c>
      <c r="BY27" s="28">
        <f>WORKDAY(BY28,$A27,$AM$41:$AM$70)</f>
        <v>0</v>
      </c>
      <c r="BZ27" s="28">
        <f>WORKDAY(BZ28,$A27,$AM$41:$AM$70)</f>
        <v>0</v>
      </c>
      <c r="CA27" s="28">
        <f>WORKDAY(CA28,$A27,$AM$41:$AM$70)</f>
        <v>0</v>
      </c>
      <c r="CB27" s="28">
        <f>WORKDAY(CB28,$A27,$AM$41:$AM$70)</f>
        <v>0</v>
      </c>
      <c r="CC27" s="28">
        <f>WORKDAY(CC28,$A27,$AM$41:$AM$70)</f>
        <v>0</v>
      </c>
      <c r="CD27" s="28">
        <f>WORKDAY(CD28,$A27,$AM$41:$AM$70)</f>
        <v>0</v>
      </c>
      <c r="CE27" s="28">
        <f>WORKDAY(CE28,$A27,$AM$41:$AM$70)</f>
        <v>0</v>
      </c>
      <c r="CF27" s="28">
        <f>WORKDAY(CF28,$A27,$AM$41:$AM$70)</f>
        <v>0</v>
      </c>
      <c r="CG27" s="28">
        <f>WORKDAY(CG28,$A27,$AM$41:$AM$70)</f>
        <v>0</v>
      </c>
      <c r="CH27" s="28">
        <f>WORKDAY(CH28,$A27,$AM$41:$AM$70)</f>
        <v>0</v>
      </c>
      <c r="CI27" s="28">
        <f>WORKDAY(CI28,$A27,$AM$41:$AM$70)</f>
        <v>0</v>
      </c>
      <c r="CJ27" s="28">
        <f>WORKDAY(CJ28,$A27,$AM$41:$AM$70)</f>
        <v>0</v>
      </c>
      <c r="CK27" s="28">
        <f>WORKDAY(CK28,$A27,$AM$41:$AM$70)</f>
        <v>0</v>
      </c>
      <c r="CL27" s="28">
        <f>WORKDAY(CL28,$A27,$AM$41:$AM$70)</f>
        <v>0</v>
      </c>
      <c r="CM27" s="28">
        <f>WORKDAY(CM28,$A27,$AM$41:$AM$70)</f>
        <v>0</v>
      </c>
      <c r="CN27" s="28">
        <f>WORKDAY(CN28,$A27,$AM$41:$AM$70)</f>
        <v>0</v>
      </c>
      <c r="CO27" s="28">
        <f>WORKDAY(CO28,$A27,$AM$41:$AM$70)</f>
        <v>0</v>
      </c>
      <c r="CP27" s="28">
        <f>WORKDAY(CP28,$A27,$AM$41:$AM$70)</f>
        <v>0</v>
      </c>
      <c r="CQ27" s="28">
        <f>WORKDAY(CQ28,$A27,$AM$41:$AM$70)</f>
        <v>0</v>
      </c>
      <c r="CR27" s="28">
        <f>WORKDAY(CR28,$A27,$AM$41:$AM$70)</f>
        <v>0</v>
      </c>
      <c r="CS27" s="28">
        <f>WORKDAY(CS28,$A27,$AM$41:$AM$70)</f>
        <v>0</v>
      </c>
      <c r="CT27" s="28">
        <f>WORKDAY(CT28,$A27,$AM$41:$AM$70)</f>
        <v>0</v>
      </c>
      <c r="CU27" s="28">
        <f>WORKDAY(CU28,$A27,$AM$41:$AM$70)</f>
        <v>0</v>
      </c>
      <c r="CV27" s="28">
        <f>WORKDAY(CV28,$A27,$AM$41:$AM$70)</f>
        <v>0</v>
      </c>
      <c r="CW27" s="28">
        <f>WORKDAY(CW28,$A27,$AM$41:$AM$70)</f>
        <v>0</v>
      </c>
      <c r="CX27" s="28">
        <f>WORKDAY(CX28,$A27,$AM$41:$AM$70)</f>
        <v>0</v>
      </c>
      <c r="CY27" s="28">
        <f>WORKDAY(CY28,$A27,$AM$41:$AM$70)</f>
        <v>0</v>
      </c>
      <c r="CZ27" s="28">
        <f>WORKDAY(CZ28,$A27,$AM$41:$AM$70)</f>
        <v>0</v>
      </c>
      <c r="DA27" s="28">
        <f>WORKDAY(DA28,$A27,$AM$41:$AM$70)</f>
        <v>0</v>
      </c>
      <c r="DB27" s="28">
        <f>WORKDAY(DB28,$A27,$AM$41:$AM$70)</f>
        <v>0</v>
      </c>
      <c r="DC27" s="28">
        <f>WORKDAY(DC28,$A27,$AM$41:$AM$70)</f>
        <v>0</v>
      </c>
      <c r="DD27" s="28">
        <f>WORKDAY(DD28,$A27,$AM$41:$AM$70)</f>
        <v>0</v>
      </c>
      <c r="DE27" s="28">
        <f>WORKDAY(DE28,$A27,$AM$41:$AM$70)</f>
        <v>0</v>
      </c>
    </row>
    <row r="28" spans="1:109" ht="28.5" x14ac:dyDescent="0.2">
      <c r="A28" s="26"/>
      <c r="B28" s="37" t="s">
        <v>27</v>
      </c>
      <c r="C28" s="38">
        <v>42475</v>
      </c>
      <c r="D28" s="38">
        <v>42479</v>
      </c>
      <c r="E28" s="38">
        <v>42479</v>
      </c>
      <c r="F28" s="38">
        <v>42475</v>
      </c>
      <c r="G28" s="38">
        <v>42482</v>
      </c>
      <c r="H28" s="38">
        <v>42482</v>
      </c>
      <c r="I28" s="54">
        <v>42487</v>
      </c>
      <c r="J28" s="38">
        <v>42488</v>
      </c>
      <c r="K28" s="38">
        <v>42488</v>
      </c>
      <c r="L28" s="38">
        <v>42492</v>
      </c>
      <c r="M28" s="38">
        <v>42492</v>
      </c>
      <c r="N28" s="38">
        <v>42493</v>
      </c>
      <c r="O28" s="38">
        <v>42493</v>
      </c>
      <c r="P28" s="38">
        <v>42493</v>
      </c>
      <c r="Q28" s="38">
        <v>42473</v>
      </c>
      <c r="R28" s="38">
        <v>42479</v>
      </c>
      <c r="S28" s="38">
        <v>42493</v>
      </c>
      <c r="T28" s="38">
        <v>42475</v>
      </c>
      <c r="U28" s="38">
        <v>42493</v>
      </c>
      <c r="V28" s="38">
        <v>42493</v>
      </c>
      <c r="W28" s="38">
        <v>42493</v>
      </c>
      <c r="X28" s="38">
        <v>42493</v>
      </c>
      <c r="Y28" s="38">
        <v>42493</v>
      </c>
      <c r="Z28" s="38">
        <v>42493</v>
      </c>
      <c r="AA28" s="38">
        <v>42493</v>
      </c>
      <c r="AB28" s="38">
        <v>42493</v>
      </c>
      <c r="AC28" s="38">
        <v>42493</v>
      </c>
      <c r="AD28" s="38">
        <v>42493</v>
      </c>
      <c r="AE28" s="38">
        <v>42493</v>
      </c>
      <c r="AF28" s="105">
        <v>42493</v>
      </c>
      <c r="AG28" s="38">
        <v>42493</v>
      </c>
      <c r="AH28" s="38">
        <v>42493</v>
      </c>
      <c r="AI28" s="38">
        <v>42493</v>
      </c>
      <c r="AJ28" s="38">
        <v>42473</v>
      </c>
      <c r="AK28" s="38">
        <v>42437</v>
      </c>
      <c r="AL28" s="38">
        <v>42438</v>
      </c>
      <c r="AM28" s="38">
        <v>42444</v>
      </c>
      <c r="AN28" s="38">
        <v>42460</v>
      </c>
      <c r="AO28" s="38">
        <v>42482</v>
      </c>
      <c r="AP28" s="38">
        <v>42493</v>
      </c>
      <c r="AQ28" s="38">
        <v>42493</v>
      </c>
      <c r="AR28" s="105">
        <v>42493</v>
      </c>
      <c r="AS28" s="38">
        <v>42493</v>
      </c>
      <c r="AT28" s="38">
        <v>42463</v>
      </c>
      <c r="AU28" s="38">
        <v>42493</v>
      </c>
      <c r="AV28" s="38">
        <v>42486</v>
      </c>
      <c r="AW28" s="38">
        <v>42486</v>
      </c>
      <c r="AX28" s="38">
        <v>42493</v>
      </c>
      <c r="AY28" s="38">
        <v>42493</v>
      </c>
      <c r="AZ28" s="38">
        <v>42493</v>
      </c>
      <c r="BA28" s="38">
        <v>42493</v>
      </c>
      <c r="BB28" s="38">
        <v>42493</v>
      </c>
      <c r="BC28" s="38">
        <v>42493</v>
      </c>
      <c r="BD28" s="38">
        <v>42493</v>
      </c>
      <c r="BE28" s="38">
        <v>42493</v>
      </c>
      <c r="BF28" s="38">
        <v>42493</v>
      </c>
      <c r="BG28" s="38">
        <v>42493</v>
      </c>
      <c r="BH28" s="38">
        <v>42493</v>
      </c>
      <c r="BI28" s="38">
        <v>42493</v>
      </c>
      <c r="BJ28" s="38">
        <v>42493</v>
      </c>
      <c r="BK28" s="38">
        <v>42493</v>
      </c>
      <c r="BL28" s="38">
        <v>42493</v>
      </c>
      <c r="BM28" s="38">
        <v>42493</v>
      </c>
      <c r="BN28" s="38">
        <v>42493</v>
      </c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</row>
    <row r="29" spans="1:109" x14ac:dyDescent="0.2">
      <c r="A29" s="26"/>
      <c r="B29" s="39" t="s">
        <v>28</v>
      </c>
      <c r="C29" s="38" t="s">
        <v>102</v>
      </c>
      <c r="D29" s="38" t="s">
        <v>102</v>
      </c>
      <c r="E29" s="38" t="s">
        <v>102</v>
      </c>
      <c r="F29" s="38" t="s">
        <v>102</v>
      </c>
      <c r="G29" s="38" t="s">
        <v>72</v>
      </c>
      <c r="H29" s="124" t="s">
        <v>13</v>
      </c>
      <c r="I29" s="125" t="s">
        <v>13</v>
      </c>
      <c r="J29" s="124" t="s">
        <v>13</v>
      </c>
      <c r="K29" s="124" t="s">
        <v>13</v>
      </c>
      <c r="L29" s="124" t="s">
        <v>13</v>
      </c>
      <c r="M29" s="124" t="s">
        <v>13</v>
      </c>
      <c r="N29" s="38" t="s">
        <v>137</v>
      </c>
      <c r="O29" s="38" t="s">
        <v>16</v>
      </c>
      <c r="P29" s="38" t="s">
        <v>71</v>
      </c>
      <c r="Q29" s="38" t="s">
        <v>62</v>
      </c>
      <c r="R29" s="38" t="s">
        <v>71</v>
      </c>
      <c r="S29" s="38" t="s">
        <v>118</v>
      </c>
      <c r="T29" s="38" t="s">
        <v>72</v>
      </c>
      <c r="U29" s="38" t="s">
        <v>16</v>
      </c>
      <c r="V29" s="38" t="s">
        <v>76</v>
      </c>
      <c r="W29" s="38" t="s">
        <v>76</v>
      </c>
      <c r="X29" s="38" t="s">
        <v>118</v>
      </c>
      <c r="Y29" s="38" t="s">
        <v>16</v>
      </c>
      <c r="Z29" s="38" t="s">
        <v>136</v>
      </c>
      <c r="AA29" s="38" t="s">
        <v>118</v>
      </c>
      <c r="AB29" s="38" t="s">
        <v>16</v>
      </c>
      <c r="AC29" s="38" t="s">
        <v>16</v>
      </c>
      <c r="AD29" s="38" t="s">
        <v>118</v>
      </c>
      <c r="AE29" s="38" t="s">
        <v>132</v>
      </c>
      <c r="AF29" s="105" t="s">
        <v>132</v>
      </c>
      <c r="AG29" s="38" t="s">
        <v>131</v>
      </c>
      <c r="AH29" s="38" t="s">
        <v>131</v>
      </c>
      <c r="AI29" s="38" t="s">
        <v>132</v>
      </c>
      <c r="AJ29" s="38" t="s">
        <v>60</v>
      </c>
      <c r="AK29" s="40" t="s">
        <v>13</v>
      </c>
      <c r="AL29" s="40" t="s">
        <v>13</v>
      </c>
      <c r="AM29" s="41" t="s">
        <v>13</v>
      </c>
      <c r="AN29" s="40" t="s">
        <v>13</v>
      </c>
      <c r="AO29" s="38" t="s">
        <v>76</v>
      </c>
      <c r="AP29" s="38" t="s">
        <v>76</v>
      </c>
      <c r="AQ29" s="38" t="s">
        <v>76</v>
      </c>
      <c r="AR29" s="105" t="s">
        <v>135</v>
      </c>
      <c r="AS29" s="38" t="s">
        <v>54</v>
      </c>
      <c r="AT29" s="38" t="s">
        <v>130</v>
      </c>
      <c r="AU29" s="38" t="s">
        <v>138</v>
      </c>
      <c r="AV29" s="38" t="s">
        <v>65</v>
      </c>
      <c r="AW29" s="38" t="s">
        <v>65</v>
      </c>
      <c r="AX29" s="38" t="s">
        <v>65</v>
      </c>
      <c r="AY29" s="38" t="s">
        <v>65</v>
      </c>
      <c r="AZ29" s="38" t="s">
        <v>65</v>
      </c>
      <c r="BA29" s="38" t="s">
        <v>65</v>
      </c>
      <c r="BB29" s="38" t="s">
        <v>65</v>
      </c>
      <c r="BC29" s="38" t="s">
        <v>65</v>
      </c>
      <c r="BD29" s="38" t="s">
        <v>65</v>
      </c>
      <c r="BE29" s="38" t="s">
        <v>115</v>
      </c>
      <c r="BF29" s="38" t="s">
        <v>139</v>
      </c>
      <c r="BG29" s="38" t="s">
        <v>140</v>
      </c>
      <c r="BH29" s="38" t="s">
        <v>140</v>
      </c>
      <c r="BI29" s="38" t="s">
        <v>140</v>
      </c>
      <c r="BJ29" s="38" t="s">
        <v>140</v>
      </c>
      <c r="BK29" s="38" t="s">
        <v>140</v>
      </c>
      <c r="BL29" s="38" t="s">
        <v>140</v>
      </c>
      <c r="BM29" s="38" t="s">
        <v>140</v>
      </c>
      <c r="BN29" s="38" t="s">
        <v>137</v>
      </c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</row>
    <row r="30" spans="1:109" s="56" customFormat="1" ht="100.5" customHeight="1" x14ac:dyDescent="0.2">
      <c r="B30" s="57" t="s">
        <v>29</v>
      </c>
      <c r="C30" s="42"/>
      <c r="D30" s="42"/>
      <c r="E30" s="42" t="s">
        <v>68</v>
      </c>
      <c r="F30" s="42"/>
      <c r="G30" s="42" t="s">
        <v>67</v>
      </c>
      <c r="H30" s="42"/>
      <c r="I30" s="57"/>
      <c r="J30" s="42"/>
      <c r="K30" s="60"/>
      <c r="L30" s="42" t="s">
        <v>112</v>
      </c>
      <c r="M30" s="42"/>
      <c r="N30" s="42"/>
      <c r="O30" s="42"/>
      <c r="P30" s="42" t="s">
        <v>133</v>
      </c>
      <c r="Q30" s="42"/>
      <c r="R30" s="63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106" t="s">
        <v>103</v>
      </c>
      <c r="AG30" s="42"/>
      <c r="AH30" s="42"/>
      <c r="AI30" s="42"/>
      <c r="AJ30" s="42" t="s">
        <v>69</v>
      </c>
      <c r="AK30" s="58" t="s">
        <v>30</v>
      </c>
      <c r="AL30" s="58"/>
      <c r="AM30" s="42"/>
      <c r="AN30" s="59" t="s">
        <v>31</v>
      </c>
      <c r="AO30" s="42"/>
      <c r="AP30" s="42"/>
      <c r="AQ30" s="42"/>
      <c r="AR30" s="106" t="s">
        <v>104</v>
      </c>
      <c r="AS30" s="42"/>
      <c r="AT30" s="42"/>
      <c r="AU30" s="42"/>
      <c r="AV30" s="42" t="s">
        <v>66</v>
      </c>
      <c r="AW30" s="42"/>
      <c r="AX30" s="42"/>
      <c r="AY30" s="42"/>
      <c r="AZ30" s="42"/>
      <c r="BA30" s="42"/>
      <c r="BB30" s="42"/>
      <c r="BC30" s="42" t="s">
        <v>70</v>
      </c>
      <c r="BD30" s="42"/>
      <c r="BE30" s="42"/>
      <c r="BF30" s="42"/>
      <c r="BG30" s="42"/>
      <c r="BH30" s="42"/>
      <c r="BI30" s="42"/>
      <c r="BJ30" s="42"/>
      <c r="BK30" s="42"/>
      <c r="BL30" s="42"/>
      <c r="BM30" s="42"/>
      <c r="BN30" s="42"/>
      <c r="BO30" s="42"/>
      <c r="BP30" s="42"/>
      <c r="BQ30" s="42"/>
      <c r="BR30" s="42"/>
      <c r="BS30" s="42"/>
      <c r="BT30" s="42"/>
      <c r="BU30" s="42"/>
      <c r="BV30" s="42"/>
      <c r="BW30" s="42"/>
      <c r="BX30" s="42"/>
      <c r="BY30" s="42"/>
      <c r="BZ30" s="42"/>
      <c r="CA30" s="42"/>
      <c r="CB30" s="42"/>
      <c r="CC30" s="42"/>
      <c r="CD30" s="42"/>
      <c r="CE30" s="42"/>
      <c r="CF30" s="42"/>
      <c r="CG30" s="42"/>
      <c r="CH30" s="42"/>
      <c r="CI30" s="42"/>
      <c r="CJ30" s="42"/>
      <c r="CK30" s="42"/>
      <c r="CL30" s="42"/>
      <c r="CM30" s="42"/>
      <c r="CN30" s="42"/>
      <c r="CO30" s="42"/>
      <c r="CP30" s="42"/>
      <c r="CQ30" s="42"/>
      <c r="CR30" s="42"/>
      <c r="CS30" s="42"/>
      <c r="CT30" s="42"/>
      <c r="CU30" s="42"/>
      <c r="CV30" s="42"/>
      <c r="CW30" s="42"/>
      <c r="CX30" s="42"/>
      <c r="CY30" s="42"/>
      <c r="CZ30" s="42"/>
      <c r="DA30" s="42"/>
      <c r="DB30" s="42"/>
      <c r="DC30" s="42"/>
      <c r="DD30" s="42"/>
      <c r="DE30" s="42"/>
    </row>
    <row r="31" spans="1:109" x14ac:dyDescent="0.2">
      <c r="B31" s="35" t="s">
        <v>32</v>
      </c>
      <c r="C31" s="100">
        <v>42478</v>
      </c>
      <c r="D31" s="101">
        <v>42480</v>
      </c>
      <c r="E31" s="101">
        <v>42480</v>
      </c>
      <c r="F31" s="101">
        <v>42478</v>
      </c>
      <c r="G31" s="100">
        <v>42486</v>
      </c>
      <c r="H31" s="112">
        <v>42488</v>
      </c>
      <c r="I31" s="108">
        <v>42487</v>
      </c>
      <c r="J31" s="107">
        <v>42486</v>
      </c>
      <c r="K31" s="38">
        <v>42486</v>
      </c>
      <c r="L31" s="107">
        <v>42492</v>
      </c>
      <c r="M31" s="107">
        <v>42492</v>
      </c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0">
        <v>42460</v>
      </c>
      <c r="AL31" s="40">
        <v>42460</v>
      </c>
      <c r="AM31" s="40">
        <v>42460</v>
      </c>
      <c r="AN31" s="40">
        <v>42460</v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43"/>
      <c r="BN31" s="43"/>
      <c r="BO31" s="43"/>
      <c r="BP31" s="43"/>
      <c r="BQ31" s="43"/>
      <c r="BR31" s="43"/>
      <c r="BS31" s="43"/>
      <c r="BT31" s="43"/>
      <c r="BU31" s="43"/>
      <c r="BV31" s="43"/>
      <c r="BW31" s="43"/>
      <c r="BX31" s="43"/>
      <c r="BY31" s="43"/>
      <c r="BZ31" s="43"/>
      <c r="CA31" s="43"/>
      <c r="CB31" s="43"/>
      <c r="CC31" s="43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43"/>
      <c r="CY31" s="43"/>
      <c r="CZ31" s="43"/>
      <c r="DA31" s="43"/>
      <c r="DB31" s="43"/>
      <c r="DC31" s="43"/>
      <c r="DD31" s="43"/>
      <c r="DE31" s="43"/>
    </row>
    <row r="33" spans="1:39" x14ac:dyDescent="0.2">
      <c r="B33" s="25"/>
      <c r="I33" s="25"/>
    </row>
    <row r="34" spans="1:39" ht="18" x14ac:dyDescent="0.25">
      <c r="A34" s="81" t="s">
        <v>64</v>
      </c>
      <c r="C34" s="25"/>
      <c r="I34" s="25"/>
      <c r="AK34" s="5"/>
    </row>
    <row r="35" spans="1:39" ht="18" x14ac:dyDescent="0.25">
      <c r="A35" s="70" t="s">
        <v>53</v>
      </c>
      <c r="C35" s="25"/>
      <c r="I35" s="25"/>
      <c r="AK35" s="5"/>
    </row>
    <row r="36" spans="1:39" ht="18" x14ac:dyDescent="0.25">
      <c r="A36" s="65" t="s">
        <v>56</v>
      </c>
      <c r="C36" s="25"/>
      <c r="I36" s="25"/>
      <c r="AK36" s="5"/>
    </row>
    <row r="37" spans="1:39" ht="18" x14ac:dyDescent="0.25">
      <c r="A37" s="73" t="s">
        <v>63</v>
      </c>
      <c r="C37" s="25"/>
      <c r="I37" s="25"/>
      <c r="AK37" s="5"/>
    </row>
    <row r="38" spans="1:39" ht="18" x14ac:dyDescent="0.25">
      <c r="A38" s="75" t="s">
        <v>57</v>
      </c>
      <c r="C38" s="25"/>
      <c r="I38" s="25"/>
      <c r="AK38" s="5"/>
    </row>
    <row r="39" spans="1:39" ht="18" x14ac:dyDescent="0.25">
      <c r="A39" s="77" t="s">
        <v>58</v>
      </c>
      <c r="C39" s="25"/>
      <c r="I39" s="25"/>
      <c r="AK39" s="5"/>
    </row>
    <row r="40" spans="1:39" ht="18" x14ac:dyDescent="0.25">
      <c r="A40" s="79" t="s">
        <v>55</v>
      </c>
      <c r="C40" s="25"/>
      <c r="I40" s="25"/>
      <c r="AK40" s="5"/>
    </row>
    <row r="41" spans="1:39" ht="18" x14ac:dyDescent="0.25">
      <c r="A41" s="66" t="s">
        <v>61</v>
      </c>
      <c r="C41" s="25"/>
      <c r="I41" s="25"/>
      <c r="AL41" s="44" t="s">
        <v>33</v>
      </c>
      <c r="AM41" s="45">
        <v>42697</v>
      </c>
    </row>
    <row r="42" spans="1:39" ht="18" x14ac:dyDescent="0.25">
      <c r="B42" s="25"/>
      <c r="I42" s="25"/>
      <c r="Q42" s="69"/>
      <c r="AL42" s="44" t="s">
        <v>34</v>
      </c>
      <c r="AM42" s="45">
        <v>42698</v>
      </c>
    </row>
    <row r="43" spans="1:39" ht="15" x14ac:dyDescent="0.2">
      <c r="A43" s="143" t="s">
        <v>8</v>
      </c>
      <c r="B43" s="44" t="s">
        <v>33</v>
      </c>
      <c r="I43" s="44"/>
      <c r="AL43" s="44" t="s">
        <v>35</v>
      </c>
      <c r="AM43" s="45">
        <v>42699</v>
      </c>
    </row>
    <row r="44" spans="1:39" ht="15" x14ac:dyDescent="0.2">
      <c r="A44" s="145" t="s">
        <v>65</v>
      </c>
      <c r="B44" s="44" t="s">
        <v>34</v>
      </c>
      <c r="I44" s="44"/>
      <c r="AL44" s="44" t="s">
        <v>36</v>
      </c>
      <c r="AM44" s="45">
        <v>42726</v>
      </c>
    </row>
    <row r="45" spans="1:39" ht="15" x14ac:dyDescent="0.2">
      <c r="A45" s="144" t="s">
        <v>9</v>
      </c>
      <c r="B45" s="44" t="s">
        <v>35</v>
      </c>
      <c r="I45" s="44"/>
      <c r="AL45" s="44" t="s">
        <v>37</v>
      </c>
      <c r="AM45" s="45">
        <v>42727</v>
      </c>
    </row>
    <row r="46" spans="1:39" x14ac:dyDescent="0.2">
      <c r="B46" s="44" t="s">
        <v>36</v>
      </c>
      <c r="I46" s="44"/>
      <c r="AL46" s="44" t="s">
        <v>38</v>
      </c>
      <c r="AM46" s="45">
        <v>42729</v>
      </c>
    </row>
    <row r="47" spans="1:39" x14ac:dyDescent="0.2">
      <c r="B47" s="44" t="s">
        <v>37</v>
      </c>
      <c r="I47" s="44"/>
      <c r="AL47" s="44" t="s">
        <v>39</v>
      </c>
      <c r="AM47" s="45">
        <v>42730</v>
      </c>
    </row>
    <row r="48" spans="1:39" x14ac:dyDescent="0.2">
      <c r="B48" s="44" t="s">
        <v>38</v>
      </c>
      <c r="I48" s="44"/>
      <c r="AL48" s="44" t="s">
        <v>40</v>
      </c>
      <c r="AM48" s="46">
        <v>42733</v>
      </c>
    </row>
    <row r="49" spans="2:39" x14ac:dyDescent="0.2">
      <c r="B49" s="44" t="s">
        <v>39</v>
      </c>
      <c r="I49" s="44"/>
      <c r="AL49" s="44" t="s">
        <v>41</v>
      </c>
      <c r="AM49" s="45">
        <v>42734</v>
      </c>
    </row>
    <row r="50" spans="2:39" x14ac:dyDescent="0.2">
      <c r="B50" s="44" t="s">
        <v>40</v>
      </c>
      <c r="I50" s="44"/>
      <c r="AL50" s="44" t="s">
        <v>42</v>
      </c>
      <c r="AM50" s="45">
        <v>42736</v>
      </c>
    </row>
    <row r="51" spans="2:39" x14ac:dyDescent="0.2">
      <c r="B51" s="44" t="s">
        <v>41</v>
      </c>
      <c r="I51" s="44"/>
      <c r="AL51" s="44" t="s">
        <v>43</v>
      </c>
      <c r="AM51" s="45">
        <v>42737</v>
      </c>
    </row>
    <row r="52" spans="2:39" x14ac:dyDescent="0.2">
      <c r="B52" s="44" t="s">
        <v>42</v>
      </c>
      <c r="I52" s="44"/>
      <c r="AL52" s="44" t="s">
        <v>44</v>
      </c>
      <c r="AM52" s="45">
        <v>42517</v>
      </c>
    </row>
    <row r="53" spans="2:39" x14ac:dyDescent="0.2">
      <c r="B53" s="44" t="s">
        <v>43</v>
      </c>
      <c r="I53" s="44"/>
      <c r="AL53" s="44" t="s">
        <v>45</v>
      </c>
      <c r="AM53" s="45">
        <v>42520</v>
      </c>
    </row>
    <row r="54" spans="2:39" x14ac:dyDescent="0.2">
      <c r="B54" s="44" t="s">
        <v>44</v>
      </c>
      <c r="I54" s="44"/>
      <c r="AL54" s="44" t="s">
        <v>46</v>
      </c>
      <c r="AM54" s="45">
        <v>42552</v>
      </c>
    </row>
    <row r="55" spans="2:39" x14ac:dyDescent="0.2">
      <c r="B55" s="44" t="s">
        <v>45</v>
      </c>
      <c r="I55" s="44"/>
      <c r="AL55" s="44" t="s">
        <v>47</v>
      </c>
      <c r="AM55" s="45">
        <v>42555</v>
      </c>
    </row>
    <row r="56" spans="2:39" x14ac:dyDescent="0.2">
      <c r="B56" s="44" t="s">
        <v>46</v>
      </c>
      <c r="I56" s="44"/>
      <c r="AL56" s="44" t="s">
        <v>48</v>
      </c>
      <c r="AM56" s="45">
        <v>42618</v>
      </c>
    </row>
    <row r="57" spans="2:39" x14ac:dyDescent="0.2">
      <c r="B57" s="44" t="s">
        <v>47</v>
      </c>
      <c r="I57" s="44"/>
    </row>
    <row r="58" spans="2:39" x14ac:dyDescent="0.2">
      <c r="B58" s="44" t="s">
        <v>48</v>
      </c>
      <c r="I58" s="44"/>
    </row>
    <row r="59" spans="2:39" x14ac:dyDescent="0.2">
      <c r="B59" s="47"/>
      <c r="I59" s="47"/>
    </row>
    <row r="60" spans="2:39" x14ac:dyDescent="0.2">
      <c r="B60" s="47"/>
      <c r="I60" s="47"/>
    </row>
    <row r="61" spans="2:39" x14ac:dyDescent="0.2">
      <c r="B61" s="47"/>
      <c r="I61" s="47"/>
    </row>
    <row r="62" spans="2:39" x14ac:dyDescent="0.2">
      <c r="B62" s="47"/>
      <c r="I62" s="47"/>
    </row>
    <row r="63" spans="2:39" x14ac:dyDescent="0.2">
      <c r="B63" s="47"/>
      <c r="I63" s="47"/>
    </row>
    <row r="64" spans="2:39" x14ac:dyDescent="0.2">
      <c r="B64" s="47"/>
      <c r="I64" s="47"/>
    </row>
    <row r="65" spans="2:9" x14ac:dyDescent="0.2">
      <c r="B65" s="47"/>
      <c r="I65" s="47"/>
    </row>
    <row r="66" spans="2:9" x14ac:dyDescent="0.2">
      <c r="B66" s="47"/>
      <c r="I66" s="47"/>
    </row>
    <row r="67" spans="2:9" x14ac:dyDescent="0.2">
      <c r="B67" s="47"/>
      <c r="I67" s="47"/>
    </row>
    <row r="68" spans="2:9" x14ac:dyDescent="0.2">
      <c r="B68" s="47"/>
      <c r="I68" s="47"/>
    </row>
    <row r="69" spans="2:9" x14ac:dyDescent="0.2">
      <c r="B69" s="47"/>
      <c r="I69" s="47"/>
    </row>
    <row r="87" ht="14.25" hidden="1" customHeight="1" x14ac:dyDescent="0.2"/>
    <row r="88" ht="14.25" hidden="1" customHeight="1" x14ac:dyDescent="0.2"/>
    <row r="89" ht="14.25" hidden="1" customHeight="1" x14ac:dyDescent="0.2"/>
    <row r="90" ht="14.25" hidden="1" customHeight="1" x14ac:dyDescent="0.2"/>
    <row r="91" ht="14.25" hidden="1" customHeight="1" x14ac:dyDescent="0.2"/>
    <row r="92" ht="14.25" hidden="1" customHeight="1" x14ac:dyDescent="0.2"/>
    <row r="93" ht="14.25" hidden="1" customHeight="1" x14ac:dyDescent="0.2"/>
    <row r="94" ht="14.25" hidden="1" customHeight="1" x14ac:dyDescent="0.2"/>
    <row r="95" ht="14.25" hidden="1" customHeight="1" x14ac:dyDescent="0.2"/>
    <row r="96" ht="14.25" hidden="1" customHeight="1" x14ac:dyDescent="0.2"/>
    <row r="97" ht="14.25" hidden="1" customHeight="1" x14ac:dyDescent="0.2"/>
    <row r="127" ht="14.25" hidden="1" customHeight="1" x14ac:dyDescent="0.2"/>
    <row r="128" ht="14.25" hidden="1" customHeight="1" x14ac:dyDescent="0.2"/>
    <row r="129" ht="14.25" hidden="1" customHeight="1" x14ac:dyDescent="0.2"/>
    <row r="130" ht="14.25" hidden="1" customHeight="1" x14ac:dyDescent="0.2"/>
    <row r="131" ht="14.25" hidden="1" customHeight="1" x14ac:dyDescent="0.2"/>
    <row r="132" ht="14.25" hidden="1" customHeight="1" x14ac:dyDescent="0.2"/>
    <row r="133" ht="14.25" hidden="1" customHeight="1" x14ac:dyDescent="0.2"/>
    <row r="134" ht="14.25" hidden="1" customHeight="1" x14ac:dyDescent="0.2"/>
    <row r="135" ht="14.25" hidden="1" customHeight="1" x14ac:dyDescent="0.2"/>
    <row r="136" ht="14.25" hidden="1" customHeight="1" x14ac:dyDescent="0.2"/>
    <row r="137" ht="14.25" hidden="1" customHeight="1" x14ac:dyDescent="0.2"/>
    <row r="167" ht="14.25" hidden="1" customHeight="1" x14ac:dyDescent="0.2"/>
    <row r="168" ht="14.25" hidden="1" customHeight="1" x14ac:dyDescent="0.2"/>
    <row r="169" ht="14.25" hidden="1" customHeight="1" x14ac:dyDescent="0.2"/>
    <row r="170" ht="14.25" hidden="1" customHeight="1" x14ac:dyDescent="0.2"/>
    <row r="171" ht="14.25" hidden="1" customHeight="1" x14ac:dyDescent="0.2"/>
    <row r="172" ht="14.25" hidden="1" customHeight="1" x14ac:dyDescent="0.2"/>
    <row r="173" ht="14.25" hidden="1" customHeight="1" x14ac:dyDescent="0.2"/>
    <row r="174" ht="14.25" hidden="1" customHeight="1" x14ac:dyDescent="0.2"/>
    <row r="175" ht="14.25" hidden="1" customHeight="1" x14ac:dyDescent="0.2"/>
    <row r="176" ht="14.25" hidden="1" customHeight="1" x14ac:dyDescent="0.2"/>
    <row r="177" ht="14.25" hidden="1" customHeight="1" x14ac:dyDescent="0.2"/>
  </sheetData>
  <conditionalFormatting sqref="C7:H7 J7 S7:AJ7 AO7:DE7 L7:Q7">
    <cfRule type="cellIs" dxfId="1" priority="3" operator="equal">
      <formula>"NOK"</formula>
    </cfRule>
    <cfRule type="cellIs" dxfId="0" priority="4" operator="equal">
      <formula>"OK"</formula>
    </cfRule>
  </conditionalFormatting>
  <dataValidations count="1">
    <dataValidation type="list" allowBlank="1" showInputMessage="1" showErrorMessage="1" sqref="C8:H8 J8:K8 L8:DE8">
      <formula1>$A$43:$A$45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G49"/>
  <sheetViews>
    <sheetView view="pageBreakPreview" zoomScale="60" zoomScaleNormal="100" workbookViewId="0">
      <selection activeCell="A25" sqref="A25"/>
    </sheetView>
  </sheetViews>
  <sheetFormatPr defaultRowHeight="14.25" x14ac:dyDescent="0.2"/>
  <cols>
    <col min="1" max="1" width="21.375" style="98" customWidth="1"/>
    <col min="2" max="2" width="13.5" style="25" customWidth="1"/>
    <col min="3" max="3" width="13.375" customWidth="1"/>
    <col min="4" max="4" width="36.375" customWidth="1"/>
    <col min="7" max="7" width="45.25" customWidth="1"/>
  </cols>
  <sheetData>
    <row r="2" spans="1:7" x14ac:dyDescent="0.2">
      <c r="C2" s="94"/>
    </row>
    <row r="5" spans="1:7" s="56" customFormat="1" ht="57.75" customHeight="1" x14ac:dyDescent="0.2">
      <c r="A5" s="116" t="s">
        <v>78</v>
      </c>
      <c r="B5" s="116" t="s">
        <v>12</v>
      </c>
      <c r="C5" s="56" t="s">
        <v>119</v>
      </c>
      <c r="D5" s="33" t="s">
        <v>1</v>
      </c>
      <c r="E5" s="56" t="s">
        <v>120</v>
      </c>
      <c r="F5" s="56" t="s">
        <v>127</v>
      </c>
      <c r="G5" s="33" t="s">
        <v>121</v>
      </c>
    </row>
    <row r="6" spans="1:7" x14ac:dyDescent="0.2">
      <c r="A6" s="113">
        <v>15676871</v>
      </c>
      <c r="B6" s="113" t="s">
        <v>56</v>
      </c>
      <c r="C6" s="107">
        <v>42471</v>
      </c>
      <c r="D6" s="43" t="s">
        <v>122</v>
      </c>
      <c r="E6" s="112">
        <v>42489</v>
      </c>
      <c r="F6" s="112"/>
      <c r="G6" s="43"/>
    </row>
    <row r="7" spans="1:7" x14ac:dyDescent="0.2">
      <c r="A7" s="113">
        <v>15667673</v>
      </c>
      <c r="B7" s="113" t="s">
        <v>58</v>
      </c>
      <c r="C7" s="107">
        <v>42441</v>
      </c>
      <c r="D7" s="43" t="s">
        <v>123</v>
      </c>
      <c r="E7" s="112">
        <v>42489</v>
      </c>
      <c r="F7" s="112"/>
      <c r="G7" s="43"/>
    </row>
    <row r="8" spans="1:7" x14ac:dyDescent="0.2">
      <c r="A8" s="113">
        <v>15660426</v>
      </c>
      <c r="B8" s="113" t="s">
        <v>57</v>
      </c>
      <c r="C8" s="107">
        <v>42422</v>
      </c>
      <c r="D8" s="43" t="s">
        <v>124</v>
      </c>
      <c r="E8" s="112">
        <v>42489</v>
      </c>
      <c r="F8" s="112"/>
      <c r="G8" s="43"/>
    </row>
    <row r="9" spans="1:7" x14ac:dyDescent="0.2">
      <c r="A9" s="113">
        <v>15675662</v>
      </c>
      <c r="B9" s="113" t="s">
        <v>125</v>
      </c>
      <c r="C9" s="107">
        <v>42471</v>
      </c>
      <c r="D9" s="43" t="s">
        <v>122</v>
      </c>
      <c r="E9" s="112">
        <v>42489</v>
      </c>
      <c r="F9" s="112"/>
      <c r="G9" s="43"/>
    </row>
    <row r="10" spans="1:7" x14ac:dyDescent="0.2">
      <c r="A10" s="113">
        <v>15670171</v>
      </c>
      <c r="B10" s="113" t="s">
        <v>63</v>
      </c>
      <c r="C10" s="107">
        <v>42450</v>
      </c>
      <c r="D10" s="43" t="s">
        <v>122</v>
      </c>
      <c r="E10" s="112">
        <v>42489</v>
      </c>
      <c r="F10" s="112"/>
      <c r="G10" s="43"/>
    </row>
    <row r="11" spans="1:7" x14ac:dyDescent="0.2">
      <c r="A11" s="113">
        <v>15682384</v>
      </c>
      <c r="B11" s="113" t="s">
        <v>63</v>
      </c>
      <c r="C11" s="107">
        <v>42485</v>
      </c>
      <c r="D11" s="43" t="s">
        <v>122</v>
      </c>
      <c r="E11" s="112">
        <v>42489</v>
      </c>
      <c r="F11" s="112"/>
      <c r="G11" s="43"/>
    </row>
    <row r="12" spans="1:7" x14ac:dyDescent="0.2">
      <c r="A12" s="113">
        <v>15673426</v>
      </c>
      <c r="B12" s="113" t="s">
        <v>57</v>
      </c>
      <c r="C12" s="107">
        <v>42459</v>
      </c>
      <c r="D12" s="43" t="s">
        <v>122</v>
      </c>
      <c r="E12" s="112">
        <v>42489</v>
      </c>
      <c r="F12" s="112"/>
      <c r="G12" s="43"/>
    </row>
    <row r="13" spans="1:7" x14ac:dyDescent="0.2">
      <c r="A13" s="113">
        <v>15682389</v>
      </c>
      <c r="B13" s="113" t="s">
        <v>53</v>
      </c>
      <c r="C13" s="127">
        <v>42488</v>
      </c>
      <c r="D13" s="115" t="s">
        <v>122</v>
      </c>
      <c r="E13" s="38"/>
      <c r="F13" s="38"/>
      <c r="G13" s="115"/>
    </row>
    <row r="14" spans="1:7" x14ac:dyDescent="0.2">
      <c r="A14" s="120">
        <v>15681466</v>
      </c>
      <c r="B14" s="120" t="s">
        <v>61</v>
      </c>
      <c r="C14" s="121">
        <v>42487</v>
      </c>
      <c r="D14" s="122" t="s">
        <v>126</v>
      </c>
      <c r="E14" s="123">
        <v>42489</v>
      </c>
      <c r="F14" s="123">
        <v>42490</v>
      </c>
      <c r="G14" s="122" t="s">
        <v>134</v>
      </c>
    </row>
    <row r="15" spans="1:7" x14ac:dyDescent="0.2">
      <c r="A15" s="120">
        <v>15682635</v>
      </c>
      <c r="B15" s="120" t="s">
        <v>61</v>
      </c>
      <c r="C15" s="121">
        <v>42488</v>
      </c>
      <c r="D15" s="122" t="s">
        <v>126</v>
      </c>
      <c r="E15" s="123">
        <v>42489</v>
      </c>
      <c r="F15" s="123">
        <v>42490</v>
      </c>
      <c r="G15" s="122" t="s">
        <v>134</v>
      </c>
    </row>
    <row r="16" spans="1:7" x14ac:dyDescent="0.2">
      <c r="A16" s="113"/>
      <c r="B16" s="113"/>
      <c r="C16" s="115"/>
      <c r="D16" s="115"/>
      <c r="E16" s="115"/>
      <c r="F16" s="115"/>
      <c r="G16" s="115"/>
    </row>
    <row r="17" spans="1:7" x14ac:dyDescent="0.2">
      <c r="A17" s="113"/>
      <c r="B17" s="113"/>
      <c r="C17" s="43"/>
      <c r="D17" s="43"/>
      <c r="E17" s="43"/>
      <c r="F17" s="43"/>
      <c r="G17" s="43"/>
    </row>
    <row r="18" spans="1:7" x14ac:dyDescent="0.2">
      <c r="A18" s="113"/>
      <c r="B18" s="113"/>
      <c r="C18" s="43"/>
      <c r="D18" s="43"/>
      <c r="E18" s="43"/>
      <c r="F18" s="43"/>
      <c r="G18" s="43"/>
    </row>
    <row r="19" spans="1:7" x14ac:dyDescent="0.2">
      <c r="A19" s="113"/>
      <c r="B19" s="113"/>
      <c r="C19" s="115"/>
      <c r="D19" s="115"/>
      <c r="E19" s="115"/>
      <c r="F19" s="115"/>
      <c r="G19" s="115"/>
    </row>
    <row r="20" spans="1:7" x14ac:dyDescent="0.2">
      <c r="A20" s="113"/>
      <c r="B20" s="113"/>
      <c r="C20" s="43"/>
      <c r="D20" s="43"/>
      <c r="E20" s="43"/>
      <c r="F20" s="43"/>
      <c r="G20" s="43"/>
    </row>
    <row r="21" spans="1:7" x14ac:dyDescent="0.2">
      <c r="A21" s="113"/>
      <c r="B21" s="113"/>
      <c r="C21" s="43"/>
      <c r="D21" s="43"/>
      <c r="E21" s="43"/>
      <c r="F21" s="43"/>
      <c r="G21" s="43"/>
    </row>
    <row r="22" spans="1:7" x14ac:dyDescent="0.2">
      <c r="A22" s="113"/>
      <c r="B22" s="113"/>
      <c r="C22" s="43"/>
      <c r="D22" s="43"/>
      <c r="E22" s="43"/>
      <c r="F22" s="43"/>
      <c r="G22" s="43"/>
    </row>
    <row r="23" spans="1:7" x14ac:dyDescent="0.2">
      <c r="A23" s="113"/>
      <c r="B23" s="113"/>
      <c r="C23" s="43"/>
      <c r="D23" s="43"/>
      <c r="E23" s="43"/>
      <c r="F23" s="43"/>
      <c r="G23" s="43"/>
    </row>
    <row r="24" spans="1:7" x14ac:dyDescent="0.2">
      <c r="A24" s="113"/>
      <c r="B24" s="113"/>
      <c r="C24" s="43"/>
      <c r="D24" s="43"/>
      <c r="E24" s="43"/>
      <c r="F24" s="43"/>
      <c r="G24" s="43"/>
    </row>
    <row r="25" spans="1:7" x14ac:dyDescent="0.2">
      <c r="A25" s="113"/>
      <c r="B25" s="113"/>
      <c r="C25" s="43"/>
      <c r="D25" s="43"/>
      <c r="E25" s="43"/>
      <c r="F25" s="43"/>
      <c r="G25" s="43"/>
    </row>
    <row r="26" spans="1:7" x14ac:dyDescent="0.2">
      <c r="A26" s="113"/>
      <c r="B26" s="113"/>
      <c r="C26" s="43"/>
      <c r="D26" s="43"/>
      <c r="E26" s="43"/>
      <c r="F26" s="43"/>
      <c r="G26" s="43"/>
    </row>
    <row r="27" spans="1:7" x14ac:dyDescent="0.2">
      <c r="A27" s="113"/>
      <c r="B27" s="113"/>
      <c r="C27" s="43"/>
      <c r="D27" s="43"/>
      <c r="E27" s="43"/>
      <c r="F27" s="43"/>
      <c r="G27" s="43"/>
    </row>
    <row r="28" spans="1:7" x14ac:dyDescent="0.2">
      <c r="A28" s="113"/>
      <c r="B28" s="113"/>
      <c r="C28" s="43"/>
      <c r="D28" s="43"/>
      <c r="E28" s="43"/>
      <c r="F28" s="43"/>
      <c r="G28" s="43"/>
    </row>
    <row r="29" spans="1:7" x14ac:dyDescent="0.2">
      <c r="A29" s="113"/>
      <c r="B29" s="113"/>
      <c r="C29" s="43"/>
      <c r="D29" s="43"/>
      <c r="E29" s="43"/>
      <c r="F29" s="43"/>
      <c r="G29" s="43"/>
    </row>
    <row r="30" spans="1:7" x14ac:dyDescent="0.2">
      <c r="A30" s="113"/>
      <c r="B30" s="113"/>
      <c r="C30" s="43"/>
      <c r="D30" s="43"/>
      <c r="E30" s="43"/>
      <c r="F30" s="43"/>
      <c r="G30" s="43"/>
    </row>
    <row r="31" spans="1:7" x14ac:dyDescent="0.2">
      <c r="A31" s="113"/>
      <c r="B31" s="113"/>
      <c r="C31" s="43"/>
      <c r="D31" s="43"/>
      <c r="E31" s="43"/>
      <c r="F31" s="43"/>
      <c r="G31" s="43"/>
    </row>
    <row r="32" spans="1:7" x14ac:dyDescent="0.2">
      <c r="A32" s="113"/>
      <c r="B32" s="113"/>
      <c r="C32" s="43"/>
      <c r="D32" s="43"/>
      <c r="E32" s="43"/>
      <c r="F32" s="43"/>
      <c r="G32" s="43"/>
    </row>
    <row r="33" spans="1:7" x14ac:dyDescent="0.2">
      <c r="A33" s="113"/>
      <c r="B33" s="113"/>
      <c r="C33" s="43"/>
      <c r="D33" s="43"/>
      <c r="E33" s="43"/>
      <c r="F33" s="43"/>
      <c r="G33" s="43"/>
    </row>
    <row r="34" spans="1:7" x14ac:dyDescent="0.2">
      <c r="A34" s="113"/>
      <c r="B34" s="113"/>
      <c r="C34" s="43"/>
      <c r="D34" s="43"/>
      <c r="E34" s="43"/>
      <c r="F34" s="43"/>
      <c r="G34" s="43"/>
    </row>
    <row r="35" spans="1:7" x14ac:dyDescent="0.2">
      <c r="A35" s="113"/>
      <c r="B35" s="113"/>
      <c r="C35" s="43"/>
      <c r="D35" s="43"/>
      <c r="E35" s="43"/>
      <c r="F35" s="43"/>
      <c r="G35" s="43"/>
    </row>
    <row r="36" spans="1:7" x14ac:dyDescent="0.2">
      <c r="A36" s="113"/>
      <c r="B36" s="113"/>
      <c r="C36" s="43"/>
      <c r="D36" s="43"/>
      <c r="E36" s="43"/>
      <c r="F36" s="43"/>
      <c r="G36" s="43"/>
    </row>
    <row r="37" spans="1:7" x14ac:dyDescent="0.2">
      <c r="A37" s="113"/>
      <c r="B37" s="113"/>
      <c r="C37" s="43"/>
      <c r="D37" s="43"/>
      <c r="E37" s="43"/>
      <c r="F37" s="43"/>
      <c r="G37" s="43"/>
    </row>
    <row r="38" spans="1:7" x14ac:dyDescent="0.2">
      <c r="A38" s="114"/>
      <c r="B38" s="115"/>
      <c r="C38" s="43"/>
      <c r="D38" s="43"/>
      <c r="E38" s="43"/>
      <c r="F38" s="43"/>
      <c r="G38" s="43"/>
    </row>
    <row r="39" spans="1:7" x14ac:dyDescent="0.2">
      <c r="A39" s="114"/>
      <c r="B39" s="115"/>
      <c r="C39" s="43"/>
      <c r="D39" s="43"/>
      <c r="E39" s="43"/>
      <c r="F39" s="43"/>
      <c r="G39" s="43"/>
    </row>
    <row r="40" spans="1:7" x14ac:dyDescent="0.2">
      <c r="A40" s="114"/>
      <c r="B40" s="115"/>
      <c r="C40" s="43"/>
      <c r="D40" s="43"/>
      <c r="E40" s="43"/>
      <c r="F40" s="43"/>
      <c r="G40" s="43"/>
    </row>
    <row r="41" spans="1:7" x14ac:dyDescent="0.2">
      <c r="A41" s="114"/>
      <c r="B41" s="115"/>
      <c r="C41" s="43"/>
      <c r="D41" s="43"/>
      <c r="E41" s="43"/>
      <c r="F41" s="43"/>
      <c r="G41" s="43"/>
    </row>
    <row r="42" spans="1:7" x14ac:dyDescent="0.2">
      <c r="A42" s="114"/>
      <c r="B42" s="115"/>
      <c r="C42" s="43"/>
      <c r="D42" s="43"/>
      <c r="E42" s="43"/>
      <c r="F42" s="43"/>
      <c r="G42" s="43"/>
    </row>
    <row r="43" spans="1:7" x14ac:dyDescent="0.2">
      <c r="A43" s="114"/>
      <c r="B43" s="115"/>
      <c r="C43" s="43"/>
      <c r="D43" s="43"/>
      <c r="E43" s="43"/>
      <c r="F43" s="43"/>
      <c r="G43" s="43"/>
    </row>
    <row r="44" spans="1:7" x14ac:dyDescent="0.2">
      <c r="A44" s="114"/>
      <c r="B44" s="115"/>
      <c r="C44" s="43"/>
      <c r="D44" s="43"/>
      <c r="E44" s="43"/>
      <c r="F44" s="43"/>
      <c r="G44" s="43"/>
    </row>
    <row r="45" spans="1:7" x14ac:dyDescent="0.2">
      <c r="A45" s="114"/>
      <c r="B45" s="115"/>
      <c r="C45" s="43"/>
      <c r="D45" s="43"/>
      <c r="E45" s="43"/>
      <c r="F45" s="43"/>
      <c r="G45" s="43"/>
    </row>
    <row r="46" spans="1:7" x14ac:dyDescent="0.2">
      <c r="A46" s="114"/>
      <c r="B46" s="115"/>
      <c r="C46" s="43"/>
      <c r="D46" s="43"/>
      <c r="E46" s="43"/>
      <c r="F46" s="43"/>
      <c r="G46" s="43"/>
    </row>
    <row r="47" spans="1:7" x14ac:dyDescent="0.2">
      <c r="A47" s="114"/>
      <c r="B47" s="115"/>
      <c r="C47" s="43"/>
      <c r="D47" s="43"/>
      <c r="E47" s="43"/>
      <c r="F47" s="43"/>
      <c r="G47" s="43"/>
    </row>
    <row r="48" spans="1:7" x14ac:dyDescent="0.2">
      <c r="A48" s="114"/>
      <c r="B48" s="115"/>
      <c r="C48" s="43"/>
      <c r="D48" s="43"/>
      <c r="E48" s="43"/>
      <c r="F48" s="43"/>
      <c r="G48" s="43"/>
    </row>
    <row r="49" spans="1:7" x14ac:dyDescent="0.2">
      <c r="A49" s="114"/>
      <c r="B49" s="115"/>
      <c r="C49" s="43"/>
      <c r="D49" s="43"/>
      <c r="E49" s="43"/>
      <c r="F49" s="43"/>
      <c r="G49" s="43"/>
    </row>
  </sheetData>
  <sortState ref="A1:B37">
    <sortCondition ref="B1"/>
  </sortState>
  <pageMargins left="0.7" right="0.7" top="0.75" bottom="0.75" header="0.3" footer="0.3"/>
  <pageSetup scale="7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76"/>
  <sheetViews>
    <sheetView workbookViewId="0">
      <pane ySplit="2" topLeftCell="A3" activePane="bottomLeft" state="frozen"/>
      <selection pane="bottomLeft" activeCell="D11" sqref="D11"/>
    </sheetView>
  </sheetViews>
  <sheetFormatPr defaultRowHeight="14.25" x14ac:dyDescent="0.2"/>
  <cols>
    <col min="1" max="1" width="19.25" style="117" customWidth="1"/>
    <col min="2" max="2" width="9.5" style="99" bestFit="1" customWidth="1"/>
    <col min="3" max="3" width="27.75" customWidth="1"/>
    <col min="4" max="4" width="11.25" customWidth="1"/>
  </cols>
  <sheetData>
    <row r="1" spans="1:3" ht="1.5" customHeight="1" x14ac:dyDescent="0.2">
      <c r="A1" s="64"/>
    </row>
    <row r="2" spans="1:3" s="130" customFormat="1" ht="30" customHeight="1" x14ac:dyDescent="0.2">
      <c r="A2" s="128" t="s">
        <v>78</v>
      </c>
      <c r="B2" s="129" t="s">
        <v>51</v>
      </c>
      <c r="C2" s="130" t="s">
        <v>79</v>
      </c>
    </row>
    <row r="3" spans="1:3" x14ac:dyDescent="0.2">
      <c r="A3" s="109">
        <v>15671294</v>
      </c>
      <c r="B3" s="110">
        <v>42479</v>
      </c>
      <c r="C3" s="111" t="s">
        <v>80</v>
      </c>
    </row>
    <row r="4" spans="1:3" x14ac:dyDescent="0.2">
      <c r="A4" s="109">
        <v>15669255</v>
      </c>
      <c r="B4" s="110">
        <v>42472</v>
      </c>
      <c r="C4" s="111" t="s">
        <v>81</v>
      </c>
    </row>
    <row r="5" spans="1:3" x14ac:dyDescent="0.2">
      <c r="A5" s="109">
        <v>15669398</v>
      </c>
      <c r="B5" s="110">
        <v>42473</v>
      </c>
      <c r="C5" s="111" t="s">
        <v>81</v>
      </c>
    </row>
    <row r="6" spans="1:3" x14ac:dyDescent="0.2">
      <c r="A6" s="109">
        <v>15671596</v>
      </c>
      <c r="B6" s="110">
        <v>42473</v>
      </c>
      <c r="C6" s="111" t="s">
        <v>82</v>
      </c>
    </row>
    <row r="7" spans="1:3" x14ac:dyDescent="0.2">
      <c r="A7" s="109">
        <v>15671595</v>
      </c>
      <c r="B7" s="110">
        <v>42473</v>
      </c>
      <c r="C7" s="111" t="s">
        <v>82</v>
      </c>
    </row>
    <row r="8" spans="1:3" x14ac:dyDescent="0.2">
      <c r="A8" s="109">
        <v>15671587</v>
      </c>
      <c r="B8" s="110">
        <v>42473</v>
      </c>
      <c r="C8" s="111" t="s">
        <v>83</v>
      </c>
    </row>
    <row r="9" spans="1:3" x14ac:dyDescent="0.2">
      <c r="A9" s="109">
        <v>15670748</v>
      </c>
      <c r="B9" s="110">
        <v>42468</v>
      </c>
      <c r="C9" s="111" t="s">
        <v>84</v>
      </c>
    </row>
    <row r="10" spans="1:3" x14ac:dyDescent="0.2">
      <c r="A10" s="109">
        <v>15671253</v>
      </c>
      <c r="B10" s="110">
        <v>42472</v>
      </c>
      <c r="C10" s="111" t="s">
        <v>85</v>
      </c>
    </row>
    <row r="11" spans="1:3" x14ac:dyDescent="0.2">
      <c r="A11" s="109">
        <v>15672151</v>
      </c>
      <c r="B11" s="110">
        <v>42472</v>
      </c>
      <c r="C11" s="111" t="s">
        <v>85</v>
      </c>
    </row>
    <row r="12" spans="1:3" x14ac:dyDescent="0.2">
      <c r="A12" s="109">
        <v>15672287</v>
      </c>
      <c r="B12" s="110">
        <v>42472</v>
      </c>
      <c r="C12" s="111" t="s">
        <v>85</v>
      </c>
    </row>
    <row r="13" spans="1:3" x14ac:dyDescent="0.2">
      <c r="A13" s="109">
        <v>15657169</v>
      </c>
      <c r="B13" s="110">
        <v>42469</v>
      </c>
      <c r="C13" s="111" t="s">
        <v>86</v>
      </c>
    </row>
    <row r="14" spans="1:3" x14ac:dyDescent="0.2">
      <c r="A14" s="109">
        <v>15655882</v>
      </c>
      <c r="B14" s="110">
        <v>42468</v>
      </c>
      <c r="C14" s="111" t="s">
        <v>81</v>
      </c>
    </row>
    <row r="15" spans="1:3" x14ac:dyDescent="0.2">
      <c r="A15" s="109">
        <v>15669406</v>
      </c>
      <c r="B15" s="110">
        <v>42471</v>
      </c>
      <c r="C15" s="111" t="s">
        <v>80</v>
      </c>
    </row>
    <row r="16" spans="1:3" x14ac:dyDescent="0.2">
      <c r="A16" s="109">
        <v>15669409</v>
      </c>
      <c r="B16" s="110">
        <v>42471</v>
      </c>
      <c r="C16" s="111" t="s">
        <v>80</v>
      </c>
    </row>
    <row r="17" spans="1:3" x14ac:dyDescent="0.2">
      <c r="A17" s="109">
        <v>15670065</v>
      </c>
      <c r="B17" s="110">
        <v>42471</v>
      </c>
      <c r="C17" s="111" t="s">
        <v>85</v>
      </c>
    </row>
    <row r="18" spans="1:3" x14ac:dyDescent="0.2">
      <c r="A18" s="109">
        <v>15669397</v>
      </c>
      <c r="B18" s="110">
        <v>42471</v>
      </c>
      <c r="C18" s="111" t="s">
        <v>85</v>
      </c>
    </row>
    <row r="19" spans="1:3" x14ac:dyDescent="0.2">
      <c r="A19" s="109">
        <v>15666062</v>
      </c>
      <c r="B19" s="110">
        <v>42471</v>
      </c>
      <c r="C19" s="111" t="s">
        <v>85</v>
      </c>
    </row>
    <row r="20" spans="1:3" x14ac:dyDescent="0.2">
      <c r="A20" s="109">
        <v>15666061</v>
      </c>
      <c r="B20" s="110">
        <v>42471</v>
      </c>
      <c r="C20" s="111" t="s">
        <v>85</v>
      </c>
    </row>
    <row r="21" spans="1:3" x14ac:dyDescent="0.2">
      <c r="A21" s="109">
        <v>15670062</v>
      </c>
      <c r="B21" s="110">
        <v>42468</v>
      </c>
      <c r="C21" s="111" t="s">
        <v>85</v>
      </c>
    </row>
    <row r="22" spans="1:3" x14ac:dyDescent="0.2">
      <c r="A22" s="109">
        <v>15671258</v>
      </c>
      <c r="B22" s="110">
        <v>42468</v>
      </c>
      <c r="C22" s="111" t="s">
        <v>85</v>
      </c>
    </row>
    <row r="23" spans="1:3" x14ac:dyDescent="0.2">
      <c r="A23" s="109">
        <v>15671256</v>
      </c>
      <c r="B23" s="110">
        <v>42468</v>
      </c>
      <c r="C23" s="111" t="s">
        <v>85</v>
      </c>
    </row>
    <row r="24" spans="1:3" x14ac:dyDescent="0.2">
      <c r="A24" s="109">
        <v>15671257</v>
      </c>
      <c r="B24" s="110">
        <v>42468</v>
      </c>
      <c r="C24" s="111" t="s">
        <v>85</v>
      </c>
    </row>
    <row r="25" spans="1:3" x14ac:dyDescent="0.2">
      <c r="A25" s="109">
        <v>15672099</v>
      </c>
      <c r="B25" s="110">
        <v>42467</v>
      </c>
      <c r="C25" s="111" t="s">
        <v>85</v>
      </c>
    </row>
    <row r="26" spans="1:3" x14ac:dyDescent="0.2">
      <c r="A26" s="109">
        <v>15672150</v>
      </c>
      <c r="B26" s="110">
        <v>42467</v>
      </c>
      <c r="C26" s="111" t="s">
        <v>85</v>
      </c>
    </row>
    <row r="27" spans="1:3" x14ac:dyDescent="0.2">
      <c r="A27" s="109">
        <v>15672095</v>
      </c>
      <c r="B27" s="110">
        <v>42101</v>
      </c>
      <c r="C27" s="111" t="s">
        <v>85</v>
      </c>
    </row>
    <row r="28" spans="1:3" x14ac:dyDescent="0.2">
      <c r="A28" s="109">
        <v>15672098</v>
      </c>
      <c r="B28" s="110">
        <v>42467</v>
      </c>
      <c r="C28" s="111" t="s">
        <v>85</v>
      </c>
    </row>
    <row r="29" spans="1:3" x14ac:dyDescent="0.2">
      <c r="A29" s="109">
        <v>15671267</v>
      </c>
      <c r="B29" s="110">
        <v>42467</v>
      </c>
      <c r="C29" s="111" t="s">
        <v>85</v>
      </c>
    </row>
    <row r="30" spans="1:3" x14ac:dyDescent="0.2">
      <c r="A30" s="109">
        <v>15671264</v>
      </c>
      <c r="B30" s="110">
        <v>42467</v>
      </c>
      <c r="C30" s="111" t="s">
        <v>85</v>
      </c>
    </row>
    <row r="31" spans="1:3" x14ac:dyDescent="0.2">
      <c r="A31" s="109">
        <v>15671268</v>
      </c>
      <c r="B31" s="110">
        <v>42467</v>
      </c>
      <c r="C31" s="111" t="s">
        <v>85</v>
      </c>
    </row>
    <row r="32" spans="1:3" x14ac:dyDescent="0.2">
      <c r="A32" s="109">
        <v>15671269</v>
      </c>
      <c r="B32" s="110">
        <v>42467</v>
      </c>
      <c r="C32" s="111" t="s">
        <v>85</v>
      </c>
    </row>
    <row r="33" spans="1:3" x14ac:dyDescent="0.2">
      <c r="A33" s="109">
        <v>15671263</v>
      </c>
      <c r="B33" s="110" t="s">
        <v>87</v>
      </c>
      <c r="C33" s="111" t="s">
        <v>85</v>
      </c>
    </row>
    <row r="34" spans="1:3" x14ac:dyDescent="0.2">
      <c r="A34" s="109">
        <v>15671265</v>
      </c>
      <c r="B34" s="110">
        <v>42467</v>
      </c>
      <c r="C34" s="111" t="s">
        <v>85</v>
      </c>
    </row>
    <row r="35" spans="1:3" x14ac:dyDescent="0.2">
      <c r="A35" s="109">
        <v>15669407</v>
      </c>
      <c r="B35" s="110">
        <v>42468</v>
      </c>
      <c r="C35" s="111" t="s">
        <v>80</v>
      </c>
    </row>
    <row r="36" spans="1:3" x14ac:dyDescent="0.2">
      <c r="A36" s="109">
        <v>15669405</v>
      </c>
      <c r="B36" s="110">
        <v>42468</v>
      </c>
      <c r="C36" s="111" t="s">
        <v>80</v>
      </c>
    </row>
    <row r="37" spans="1:3" x14ac:dyDescent="0.2">
      <c r="A37" s="109">
        <v>15670175</v>
      </c>
      <c r="B37" s="110">
        <v>42468</v>
      </c>
      <c r="C37" s="111" t="s">
        <v>88</v>
      </c>
    </row>
    <row r="38" spans="1:3" x14ac:dyDescent="0.2">
      <c r="A38" s="109">
        <v>15655866</v>
      </c>
      <c r="B38" s="110">
        <v>42468</v>
      </c>
      <c r="C38" s="111" t="s">
        <v>89</v>
      </c>
    </row>
    <row r="39" spans="1:3" x14ac:dyDescent="0.2">
      <c r="A39" s="109">
        <v>15660446</v>
      </c>
      <c r="B39" s="110">
        <v>42466</v>
      </c>
      <c r="C39" s="111" t="s">
        <v>89</v>
      </c>
    </row>
    <row r="40" spans="1:3" x14ac:dyDescent="0.2">
      <c r="A40" s="109">
        <v>15660449</v>
      </c>
      <c r="B40" s="110">
        <v>42466</v>
      </c>
      <c r="C40" s="111" t="s">
        <v>85</v>
      </c>
    </row>
    <row r="41" spans="1:3" x14ac:dyDescent="0.2">
      <c r="A41" s="109">
        <v>15654732</v>
      </c>
      <c r="B41" s="110">
        <v>42464</v>
      </c>
      <c r="C41" s="111" t="s">
        <v>90</v>
      </c>
    </row>
    <row r="42" spans="1:3" x14ac:dyDescent="0.2">
      <c r="A42" s="109">
        <v>15665748</v>
      </c>
      <c r="B42" s="110">
        <v>42465</v>
      </c>
      <c r="C42" s="111" t="s">
        <v>88</v>
      </c>
    </row>
    <row r="43" spans="1:3" x14ac:dyDescent="0.2">
      <c r="A43" s="109">
        <v>15666054</v>
      </c>
      <c r="B43" s="110">
        <v>42465</v>
      </c>
      <c r="C43" s="111" t="s">
        <v>84</v>
      </c>
    </row>
    <row r="44" spans="1:3" x14ac:dyDescent="0.2">
      <c r="A44" s="109">
        <v>15674452</v>
      </c>
      <c r="B44" s="110">
        <v>42460</v>
      </c>
      <c r="C44" s="111" t="s">
        <v>91</v>
      </c>
    </row>
    <row r="45" spans="1:3" x14ac:dyDescent="0.2">
      <c r="A45" s="109">
        <v>15666052</v>
      </c>
      <c r="B45" s="110">
        <v>42465</v>
      </c>
      <c r="C45" s="111" t="s">
        <v>92</v>
      </c>
    </row>
    <row r="46" spans="1:3" x14ac:dyDescent="0.2">
      <c r="A46" s="109">
        <v>15664776</v>
      </c>
      <c r="B46" s="110">
        <v>42464</v>
      </c>
      <c r="C46" s="111" t="s">
        <v>81</v>
      </c>
    </row>
    <row r="47" spans="1:3" x14ac:dyDescent="0.2">
      <c r="A47" s="109">
        <v>15667135</v>
      </c>
      <c r="B47" s="110">
        <v>42464</v>
      </c>
      <c r="C47" s="111" t="s">
        <v>80</v>
      </c>
    </row>
    <row r="48" spans="1:3" x14ac:dyDescent="0.2">
      <c r="A48" s="109">
        <v>15667137</v>
      </c>
      <c r="B48" s="110">
        <v>42464</v>
      </c>
      <c r="C48" s="111" t="s">
        <v>80</v>
      </c>
    </row>
    <row r="49" spans="1:3" x14ac:dyDescent="0.2">
      <c r="A49" s="109">
        <v>15668841</v>
      </c>
      <c r="B49" s="110">
        <v>42461</v>
      </c>
      <c r="C49" s="111" t="s">
        <v>93</v>
      </c>
    </row>
    <row r="50" spans="1:3" x14ac:dyDescent="0.2">
      <c r="A50" s="109">
        <v>15671586</v>
      </c>
      <c r="B50" s="110">
        <v>42460</v>
      </c>
      <c r="C50" s="111" t="s">
        <v>94</v>
      </c>
    </row>
    <row r="51" spans="1:3" x14ac:dyDescent="0.2">
      <c r="A51" s="109">
        <v>15667136</v>
      </c>
      <c r="B51" s="110">
        <v>42460</v>
      </c>
      <c r="C51" s="111" t="s">
        <v>80</v>
      </c>
    </row>
    <row r="52" spans="1:3" x14ac:dyDescent="0.2">
      <c r="A52" s="109">
        <v>15664767</v>
      </c>
      <c r="B52" s="110">
        <v>42460</v>
      </c>
      <c r="C52" s="111" t="s">
        <v>80</v>
      </c>
    </row>
    <row r="53" spans="1:3" x14ac:dyDescent="0.2">
      <c r="A53" s="109">
        <v>15666440</v>
      </c>
      <c r="B53" s="110">
        <v>42459</v>
      </c>
      <c r="C53" s="111" t="s">
        <v>85</v>
      </c>
    </row>
    <row r="54" spans="1:3" x14ac:dyDescent="0.2">
      <c r="A54" s="109">
        <v>15666439</v>
      </c>
      <c r="B54" s="110">
        <v>42459</v>
      </c>
      <c r="C54" s="111" t="s">
        <v>85</v>
      </c>
    </row>
    <row r="55" spans="1:3" x14ac:dyDescent="0.2">
      <c r="A55" s="109">
        <v>15658837</v>
      </c>
      <c r="B55" s="110">
        <v>42460</v>
      </c>
      <c r="C55" s="111" t="s">
        <v>85</v>
      </c>
    </row>
    <row r="56" spans="1:3" x14ac:dyDescent="0.2">
      <c r="A56" s="109">
        <v>15659241</v>
      </c>
      <c r="B56" s="110">
        <v>42459</v>
      </c>
      <c r="C56" s="111" t="s">
        <v>81</v>
      </c>
    </row>
    <row r="57" spans="1:3" x14ac:dyDescent="0.2">
      <c r="A57" s="109">
        <v>15664770</v>
      </c>
      <c r="B57" s="110">
        <v>42461</v>
      </c>
      <c r="C57" s="111" t="s">
        <v>85</v>
      </c>
    </row>
    <row r="58" spans="1:3" x14ac:dyDescent="0.2">
      <c r="A58" s="109">
        <v>15664769</v>
      </c>
      <c r="B58" s="110">
        <v>42461</v>
      </c>
      <c r="C58" s="111" t="s">
        <v>85</v>
      </c>
    </row>
    <row r="59" spans="1:3" x14ac:dyDescent="0.2">
      <c r="A59" s="109">
        <v>15664773</v>
      </c>
      <c r="B59" s="110">
        <v>42461</v>
      </c>
      <c r="C59" s="111" t="s">
        <v>85</v>
      </c>
    </row>
    <row r="60" spans="1:3" x14ac:dyDescent="0.2">
      <c r="A60" s="109">
        <v>15665069</v>
      </c>
      <c r="B60" s="110">
        <v>42460</v>
      </c>
      <c r="C60" s="111" t="s">
        <v>85</v>
      </c>
    </row>
    <row r="61" spans="1:3" x14ac:dyDescent="0.2">
      <c r="A61" s="109">
        <v>15664494</v>
      </c>
      <c r="B61" s="110">
        <v>42460</v>
      </c>
      <c r="C61" s="111" t="s">
        <v>85</v>
      </c>
    </row>
    <row r="62" spans="1:3" x14ac:dyDescent="0.2">
      <c r="A62" s="109">
        <v>15671588</v>
      </c>
      <c r="B62" s="110">
        <v>42453</v>
      </c>
      <c r="C62" s="111" t="s">
        <v>81</v>
      </c>
    </row>
    <row r="63" spans="1:3" x14ac:dyDescent="0.2">
      <c r="A63" s="109">
        <v>15658169</v>
      </c>
      <c r="B63" s="110">
        <v>42461</v>
      </c>
      <c r="C63" s="111" t="s">
        <v>81</v>
      </c>
    </row>
    <row r="64" spans="1:3" x14ac:dyDescent="0.2">
      <c r="A64" s="109">
        <v>15658836</v>
      </c>
      <c r="B64" s="110">
        <v>42460</v>
      </c>
      <c r="C64" s="111" t="s">
        <v>85</v>
      </c>
    </row>
    <row r="65" spans="1:3" x14ac:dyDescent="0.2">
      <c r="A65" s="109">
        <v>15674149</v>
      </c>
      <c r="B65" s="110">
        <v>42460</v>
      </c>
      <c r="C65" s="111" t="s">
        <v>91</v>
      </c>
    </row>
    <row r="66" spans="1:3" x14ac:dyDescent="0.2">
      <c r="A66" s="109">
        <v>15664492</v>
      </c>
      <c r="B66" s="110">
        <v>42467</v>
      </c>
      <c r="C66" s="111" t="s">
        <v>95</v>
      </c>
    </row>
    <row r="67" spans="1:3" x14ac:dyDescent="0.2">
      <c r="A67" s="109">
        <v>15662486</v>
      </c>
      <c r="B67" s="110">
        <v>42466</v>
      </c>
      <c r="C67" s="111" t="s">
        <v>96</v>
      </c>
    </row>
    <row r="68" spans="1:3" x14ac:dyDescent="0.2">
      <c r="A68" s="109">
        <v>15666051</v>
      </c>
      <c r="B68" s="110">
        <v>42466</v>
      </c>
      <c r="C68" s="111" t="s">
        <v>97</v>
      </c>
    </row>
    <row r="69" spans="1:3" x14ac:dyDescent="0.2">
      <c r="A69" s="109">
        <v>15664493</v>
      </c>
      <c r="B69" s="110">
        <v>42460</v>
      </c>
      <c r="C69" s="111" t="s">
        <v>85</v>
      </c>
    </row>
    <row r="70" spans="1:3" x14ac:dyDescent="0.2">
      <c r="A70" s="109">
        <v>15664495</v>
      </c>
      <c r="B70" s="110">
        <v>42460</v>
      </c>
      <c r="C70" s="111" t="s">
        <v>85</v>
      </c>
    </row>
    <row r="71" spans="1:3" x14ac:dyDescent="0.2">
      <c r="A71" s="139">
        <v>15670868</v>
      </c>
      <c r="B71" s="140">
        <v>42480</v>
      </c>
      <c r="C71" s="141" t="s">
        <v>98</v>
      </c>
    </row>
    <row r="72" spans="1:3" x14ac:dyDescent="0.2">
      <c r="A72" s="109">
        <v>15674541</v>
      </c>
      <c r="B72" s="110">
        <v>42480</v>
      </c>
      <c r="C72" s="111" t="s">
        <v>93</v>
      </c>
    </row>
    <row r="73" spans="1:3" x14ac:dyDescent="0.2">
      <c r="A73" s="109">
        <v>15670850</v>
      </c>
      <c r="B73" s="110">
        <v>42480</v>
      </c>
      <c r="C73" s="111" t="s">
        <v>85</v>
      </c>
    </row>
    <row r="74" spans="1:3" x14ac:dyDescent="0.2">
      <c r="A74" s="109">
        <v>15676038</v>
      </c>
      <c r="B74" s="110">
        <v>42478</v>
      </c>
      <c r="C74" s="111" t="s">
        <v>85</v>
      </c>
    </row>
    <row r="75" spans="1:3" x14ac:dyDescent="0.2">
      <c r="A75" s="109">
        <v>15676037</v>
      </c>
      <c r="B75" s="110">
        <v>42478</v>
      </c>
      <c r="C75" s="111" t="s">
        <v>85</v>
      </c>
    </row>
    <row r="76" spans="1:3" x14ac:dyDescent="0.2">
      <c r="A76" s="139">
        <v>15669181</v>
      </c>
      <c r="B76" s="140">
        <v>42480</v>
      </c>
      <c r="C76" s="141" t="s">
        <v>81</v>
      </c>
    </row>
    <row r="77" spans="1:3" x14ac:dyDescent="0.2">
      <c r="A77" s="109">
        <v>15676035</v>
      </c>
      <c r="B77" s="110">
        <v>42478</v>
      </c>
      <c r="C77" s="111" t="s">
        <v>85</v>
      </c>
    </row>
    <row r="78" spans="1:3" x14ac:dyDescent="0.2">
      <c r="A78" s="109">
        <v>24112482</v>
      </c>
      <c r="B78" s="110">
        <v>42478</v>
      </c>
      <c r="C78" s="111" t="s">
        <v>99</v>
      </c>
    </row>
    <row r="79" spans="1:3" x14ac:dyDescent="0.2">
      <c r="A79" s="139">
        <v>15668319</v>
      </c>
      <c r="B79" s="140">
        <v>42478</v>
      </c>
      <c r="C79" s="141" t="s">
        <v>81</v>
      </c>
    </row>
    <row r="80" spans="1:3" x14ac:dyDescent="0.2">
      <c r="A80" s="109">
        <v>15656353</v>
      </c>
      <c r="B80" s="110">
        <v>42424</v>
      </c>
      <c r="C80" s="111" t="s">
        <v>100</v>
      </c>
    </row>
    <row r="81" spans="1:3" x14ac:dyDescent="0.2">
      <c r="A81" s="109">
        <v>15656352</v>
      </c>
      <c r="B81" s="110">
        <v>42434</v>
      </c>
      <c r="C81" s="111" t="s">
        <v>100</v>
      </c>
    </row>
    <row r="82" spans="1:3" x14ac:dyDescent="0.2">
      <c r="A82" s="109">
        <v>15658152</v>
      </c>
      <c r="B82" s="110">
        <v>42434</v>
      </c>
      <c r="C82" s="111" t="s">
        <v>100</v>
      </c>
    </row>
    <row r="83" spans="1:3" x14ac:dyDescent="0.2">
      <c r="A83" s="109">
        <v>15615618</v>
      </c>
      <c r="B83" s="110">
        <v>42398</v>
      </c>
      <c r="C83" s="111" t="s">
        <v>101</v>
      </c>
    </row>
    <row r="84" spans="1:3" x14ac:dyDescent="0.2">
      <c r="A84" s="139">
        <v>15668844</v>
      </c>
      <c r="B84" s="140">
        <v>42478</v>
      </c>
      <c r="C84" s="141" t="s">
        <v>88</v>
      </c>
    </row>
    <row r="85" spans="1:3" x14ac:dyDescent="0.2">
      <c r="A85" s="109">
        <v>15576794</v>
      </c>
      <c r="B85" s="110">
        <v>42473</v>
      </c>
      <c r="C85" s="111" t="s">
        <v>81</v>
      </c>
    </row>
    <row r="86" spans="1:3" x14ac:dyDescent="0.2">
      <c r="A86" s="109">
        <v>15671292</v>
      </c>
      <c r="B86" s="110">
        <v>42474</v>
      </c>
      <c r="C86" s="111" t="s">
        <v>80</v>
      </c>
    </row>
    <row r="87" spans="1:3" x14ac:dyDescent="0.2">
      <c r="A87" s="109">
        <v>15671291</v>
      </c>
      <c r="B87" s="110">
        <v>42474</v>
      </c>
      <c r="C87" s="111" t="s">
        <v>80</v>
      </c>
    </row>
    <row r="88" spans="1:3" x14ac:dyDescent="0.2">
      <c r="A88" s="109">
        <v>15668306</v>
      </c>
      <c r="B88" s="110">
        <v>42468</v>
      </c>
      <c r="C88" s="111" t="s">
        <v>85</v>
      </c>
    </row>
    <row r="89" spans="1:3" x14ac:dyDescent="0.2">
      <c r="A89" s="109">
        <v>15574426</v>
      </c>
      <c r="B89" s="110">
        <v>42465</v>
      </c>
      <c r="C89" s="111" t="s">
        <v>81</v>
      </c>
    </row>
    <row r="90" spans="1:3" x14ac:dyDescent="0.2">
      <c r="A90" s="109">
        <v>15669257</v>
      </c>
      <c r="B90" s="110">
        <v>42464</v>
      </c>
      <c r="C90" s="111" t="s">
        <v>85</v>
      </c>
    </row>
    <row r="91" spans="1:3" x14ac:dyDescent="0.2">
      <c r="A91" s="109">
        <v>15668322</v>
      </c>
      <c r="B91" s="110">
        <v>42465</v>
      </c>
      <c r="C91" s="111" t="s">
        <v>81</v>
      </c>
    </row>
    <row r="92" spans="1:3" x14ac:dyDescent="0.2">
      <c r="A92" s="109">
        <v>15666436</v>
      </c>
      <c r="B92" s="110">
        <v>42461</v>
      </c>
      <c r="C92" s="111" t="s">
        <v>85</v>
      </c>
    </row>
    <row r="93" spans="1:3" x14ac:dyDescent="0.2">
      <c r="A93" s="109">
        <v>15662041</v>
      </c>
      <c r="B93" s="110">
        <v>42460</v>
      </c>
      <c r="C93" s="111" t="s">
        <v>85</v>
      </c>
    </row>
    <row r="94" spans="1:3" x14ac:dyDescent="0.2">
      <c r="A94" s="109">
        <v>15671273</v>
      </c>
      <c r="B94" s="110">
        <v>42466</v>
      </c>
      <c r="C94" s="111" t="s">
        <v>88</v>
      </c>
    </row>
    <row r="95" spans="1:3" x14ac:dyDescent="0.2">
      <c r="A95" s="109">
        <v>15666437</v>
      </c>
      <c r="B95" s="110">
        <v>42467</v>
      </c>
      <c r="C95" s="111" t="s">
        <v>85</v>
      </c>
    </row>
    <row r="96" spans="1:3" x14ac:dyDescent="0.2">
      <c r="A96" s="109">
        <v>15664766</v>
      </c>
      <c r="B96" s="110">
        <v>42466</v>
      </c>
      <c r="C96" s="111" t="s">
        <v>80</v>
      </c>
    </row>
    <row r="97" spans="1:3" x14ac:dyDescent="0.2">
      <c r="A97" s="109">
        <v>15672097</v>
      </c>
      <c r="B97" s="110">
        <v>42467</v>
      </c>
      <c r="C97" s="111" t="s">
        <v>85</v>
      </c>
    </row>
    <row r="98" spans="1:3" x14ac:dyDescent="0.2">
      <c r="A98" s="109">
        <v>15672096</v>
      </c>
      <c r="B98" s="110">
        <v>42467</v>
      </c>
      <c r="C98" s="111" t="s">
        <v>85</v>
      </c>
    </row>
    <row r="99" spans="1:3" x14ac:dyDescent="0.2">
      <c r="A99" s="109">
        <v>15671254</v>
      </c>
      <c r="B99" s="110">
        <v>42467</v>
      </c>
      <c r="C99" s="111" t="s">
        <v>85</v>
      </c>
    </row>
    <row r="100" spans="1:3" x14ac:dyDescent="0.2">
      <c r="A100" s="109">
        <v>15672290</v>
      </c>
      <c r="B100" s="110">
        <v>42467</v>
      </c>
      <c r="C100" s="111" t="s">
        <v>85</v>
      </c>
    </row>
    <row r="101" spans="1:3" x14ac:dyDescent="0.2">
      <c r="A101" s="109">
        <v>15671901</v>
      </c>
      <c r="B101" s="110">
        <v>42482</v>
      </c>
      <c r="C101" s="111" t="s">
        <v>80</v>
      </c>
    </row>
    <row r="102" spans="1:3" x14ac:dyDescent="0.2">
      <c r="A102" s="109">
        <v>15668828</v>
      </c>
      <c r="B102" s="110">
        <v>42482</v>
      </c>
      <c r="C102" s="111" t="s">
        <v>105</v>
      </c>
    </row>
    <row r="103" spans="1:3" x14ac:dyDescent="0.2">
      <c r="A103" s="109">
        <v>15676553</v>
      </c>
      <c r="B103" s="110">
        <v>42485</v>
      </c>
      <c r="C103" s="111" t="s">
        <v>80</v>
      </c>
    </row>
    <row r="104" spans="1:3" x14ac:dyDescent="0.2">
      <c r="A104" s="109">
        <v>15670852</v>
      </c>
      <c r="B104" s="110">
        <v>42485</v>
      </c>
      <c r="C104" s="111" t="s">
        <v>85</v>
      </c>
    </row>
    <row r="105" spans="1:3" x14ac:dyDescent="0.2">
      <c r="A105" s="109">
        <v>15670854</v>
      </c>
      <c r="B105" s="110">
        <v>42485</v>
      </c>
      <c r="C105" s="111" t="s">
        <v>85</v>
      </c>
    </row>
    <row r="106" spans="1:3" x14ac:dyDescent="0.2">
      <c r="A106" s="109">
        <v>15672092</v>
      </c>
      <c r="B106" s="110">
        <v>42485</v>
      </c>
      <c r="C106" s="111" t="s">
        <v>85</v>
      </c>
    </row>
    <row r="107" spans="1:3" x14ac:dyDescent="0.2">
      <c r="A107" s="109">
        <v>15672091</v>
      </c>
      <c r="B107" s="110">
        <v>42485</v>
      </c>
      <c r="C107" s="111" t="s">
        <v>85</v>
      </c>
    </row>
    <row r="108" spans="1:3" x14ac:dyDescent="0.2">
      <c r="A108" s="109">
        <v>15672094</v>
      </c>
      <c r="B108" s="110">
        <v>42481</v>
      </c>
      <c r="C108" s="111" t="s">
        <v>85</v>
      </c>
    </row>
    <row r="109" spans="1:3" x14ac:dyDescent="0.2">
      <c r="A109" s="109">
        <v>15670853</v>
      </c>
      <c r="B109" s="110">
        <v>42481</v>
      </c>
      <c r="C109" s="111" t="s">
        <v>85</v>
      </c>
    </row>
    <row r="110" spans="1:3" x14ac:dyDescent="0.2">
      <c r="A110" s="109">
        <v>15671262</v>
      </c>
      <c r="B110" s="110">
        <v>42482</v>
      </c>
      <c r="C110" s="111" t="s">
        <v>85</v>
      </c>
    </row>
    <row r="111" spans="1:3" x14ac:dyDescent="0.2">
      <c r="A111" s="109">
        <v>15666060</v>
      </c>
      <c r="B111" s="110">
        <v>42482</v>
      </c>
      <c r="C111" s="111" t="s">
        <v>85</v>
      </c>
    </row>
    <row r="112" spans="1:3" x14ac:dyDescent="0.2">
      <c r="A112" s="109">
        <v>15671261</v>
      </c>
      <c r="B112" s="110">
        <v>42482</v>
      </c>
      <c r="C112" s="111" t="s">
        <v>85</v>
      </c>
    </row>
    <row r="113" spans="1:3" x14ac:dyDescent="0.2">
      <c r="A113" s="109">
        <v>15672093</v>
      </c>
      <c r="B113" s="110">
        <v>42485</v>
      </c>
      <c r="C113" s="111" t="s">
        <v>85</v>
      </c>
    </row>
    <row r="114" spans="1:3" x14ac:dyDescent="0.2">
      <c r="A114" s="109">
        <v>15670159</v>
      </c>
      <c r="B114" s="110">
        <v>42471</v>
      </c>
      <c r="C114" s="111" t="s">
        <v>82</v>
      </c>
    </row>
    <row r="115" spans="1:3" x14ac:dyDescent="0.2">
      <c r="A115" s="109">
        <v>15676956</v>
      </c>
      <c r="B115" s="110">
        <v>42480</v>
      </c>
      <c r="C115" s="111" t="s">
        <v>106</v>
      </c>
    </row>
    <row r="116" spans="1:3" x14ac:dyDescent="0.2">
      <c r="A116" s="109">
        <v>15667670</v>
      </c>
      <c r="B116" s="110">
        <v>42478</v>
      </c>
      <c r="C116" s="111" t="s">
        <v>107</v>
      </c>
    </row>
    <row r="117" spans="1:3" x14ac:dyDescent="0.2">
      <c r="A117" s="139">
        <v>15665749</v>
      </c>
      <c r="B117" s="140">
        <v>42482</v>
      </c>
      <c r="C117" s="141" t="s">
        <v>90</v>
      </c>
    </row>
    <row r="118" spans="1:3" x14ac:dyDescent="0.2">
      <c r="A118" s="109">
        <v>15678278</v>
      </c>
      <c r="B118" s="110">
        <v>42485</v>
      </c>
      <c r="C118" s="111" t="s">
        <v>108</v>
      </c>
    </row>
    <row r="119" spans="1:3" x14ac:dyDescent="0.2">
      <c r="A119" s="109">
        <v>15678277</v>
      </c>
      <c r="B119" s="110">
        <v>42485</v>
      </c>
      <c r="C119" s="111" t="s">
        <v>108</v>
      </c>
    </row>
    <row r="120" spans="1:3" x14ac:dyDescent="0.2">
      <c r="A120" s="109">
        <v>15678275</v>
      </c>
      <c r="B120" s="110">
        <v>42485</v>
      </c>
      <c r="C120" s="111" t="s">
        <v>108</v>
      </c>
    </row>
    <row r="121" spans="1:3" x14ac:dyDescent="0.2">
      <c r="A121" s="109">
        <v>15678274</v>
      </c>
      <c r="B121" s="110">
        <v>42485</v>
      </c>
      <c r="C121" s="111" t="s">
        <v>108</v>
      </c>
    </row>
    <row r="122" spans="1:3" x14ac:dyDescent="0.2">
      <c r="A122" s="109">
        <v>15678281</v>
      </c>
      <c r="B122" s="110">
        <v>42485</v>
      </c>
      <c r="C122" s="111" t="s">
        <v>108</v>
      </c>
    </row>
    <row r="123" spans="1:3" x14ac:dyDescent="0.2">
      <c r="A123" s="109">
        <v>15678283</v>
      </c>
      <c r="B123" s="110">
        <v>42485</v>
      </c>
      <c r="C123" s="111" t="s">
        <v>108</v>
      </c>
    </row>
    <row r="124" spans="1:3" x14ac:dyDescent="0.2">
      <c r="A124" s="109">
        <v>15678282</v>
      </c>
      <c r="B124" s="110">
        <v>42486</v>
      </c>
      <c r="C124" s="111" t="s">
        <v>108</v>
      </c>
    </row>
    <row r="125" spans="1:3" x14ac:dyDescent="0.2">
      <c r="A125" s="109">
        <v>15678812</v>
      </c>
      <c r="B125" s="110">
        <v>42486</v>
      </c>
      <c r="C125" s="111" t="s">
        <v>82</v>
      </c>
    </row>
    <row r="126" spans="1:3" x14ac:dyDescent="0.2">
      <c r="A126" s="109">
        <v>15678813</v>
      </c>
      <c r="B126" s="110">
        <v>42486</v>
      </c>
      <c r="C126" s="111" t="s">
        <v>82</v>
      </c>
    </row>
    <row r="127" spans="1:3" x14ac:dyDescent="0.2">
      <c r="A127" s="109">
        <v>15678819</v>
      </c>
      <c r="B127" s="110">
        <v>42486</v>
      </c>
      <c r="C127" s="111" t="s">
        <v>82</v>
      </c>
    </row>
    <row r="128" spans="1:3" x14ac:dyDescent="0.2">
      <c r="A128" s="139">
        <v>15676861</v>
      </c>
      <c r="B128" s="140">
        <v>42482</v>
      </c>
      <c r="C128" s="141" t="s">
        <v>109</v>
      </c>
    </row>
    <row r="129" spans="1:3" x14ac:dyDescent="0.2">
      <c r="A129" s="139">
        <v>15669399</v>
      </c>
      <c r="B129" s="140">
        <v>42486</v>
      </c>
      <c r="C129" s="141" t="s">
        <v>84</v>
      </c>
    </row>
    <row r="130" spans="1:3" x14ac:dyDescent="0.2">
      <c r="A130" s="109">
        <v>15676554</v>
      </c>
      <c r="B130" s="110">
        <v>42486</v>
      </c>
      <c r="C130" s="111" t="s">
        <v>80</v>
      </c>
    </row>
    <row r="131" spans="1:3" x14ac:dyDescent="0.2">
      <c r="A131" s="109">
        <v>15676461</v>
      </c>
      <c r="B131" s="110">
        <v>42486</v>
      </c>
      <c r="C131" s="111" t="s">
        <v>110</v>
      </c>
    </row>
    <row r="132" spans="1:3" x14ac:dyDescent="0.2">
      <c r="A132" s="139">
        <v>15676862</v>
      </c>
      <c r="B132" s="140">
        <v>42487</v>
      </c>
      <c r="C132" s="141" t="s">
        <v>111</v>
      </c>
    </row>
    <row r="133" spans="1:3" x14ac:dyDescent="0.2">
      <c r="A133" s="139">
        <v>15676026</v>
      </c>
      <c r="B133" s="140">
        <v>42486</v>
      </c>
      <c r="C133" s="141" t="s">
        <v>84</v>
      </c>
    </row>
    <row r="134" spans="1:3" x14ac:dyDescent="0.2">
      <c r="A134" s="109">
        <v>15677684</v>
      </c>
      <c r="B134" s="110">
        <v>42487</v>
      </c>
      <c r="C134" s="111" t="s">
        <v>85</v>
      </c>
    </row>
    <row r="135" spans="1:3" x14ac:dyDescent="0.2">
      <c r="A135" s="109">
        <v>15677682</v>
      </c>
      <c r="B135" s="110">
        <v>42487</v>
      </c>
      <c r="C135" s="111" t="s">
        <v>85</v>
      </c>
    </row>
    <row r="136" spans="1:3" x14ac:dyDescent="0.2">
      <c r="A136" s="118">
        <v>15677675</v>
      </c>
      <c r="B136" s="110">
        <v>42487</v>
      </c>
      <c r="C136" s="111" t="s">
        <v>85</v>
      </c>
    </row>
    <row r="137" spans="1:3" x14ac:dyDescent="0.2">
      <c r="A137" s="118">
        <v>15676032</v>
      </c>
      <c r="B137" s="110">
        <v>42487</v>
      </c>
      <c r="C137" s="111" t="s">
        <v>85</v>
      </c>
    </row>
    <row r="138" spans="1:3" x14ac:dyDescent="0.2">
      <c r="A138" s="118">
        <v>15677679</v>
      </c>
      <c r="B138" s="110">
        <v>42487</v>
      </c>
      <c r="C138" s="111" t="s">
        <v>85</v>
      </c>
    </row>
    <row r="139" spans="1:3" x14ac:dyDescent="0.2">
      <c r="A139" s="118">
        <v>15677681</v>
      </c>
      <c r="B139" s="110">
        <v>42487</v>
      </c>
      <c r="C139" s="111" t="s">
        <v>85</v>
      </c>
    </row>
    <row r="140" spans="1:3" x14ac:dyDescent="0.2">
      <c r="A140" s="118">
        <v>15677683</v>
      </c>
      <c r="B140" s="110">
        <v>42487</v>
      </c>
      <c r="C140" s="111" t="s">
        <v>85</v>
      </c>
    </row>
    <row r="141" spans="1:3" x14ac:dyDescent="0.2">
      <c r="A141" s="118">
        <v>15677680</v>
      </c>
      <c r="B141" s="110">
        <v>42487</v>
      </c>
      <c r="C141" s="111" t="s">
        <v>85</v>
      </c>
    </row>
    <row r="142" spans="1:3" x14ac:dyDescent="0.2">
      <c r="A142" s="118">
        <v>15677673</v>
      </c>
      <c r="B142" s="110">
        <v>42487</v>
      </c>
      <c r="C142" s="111" t="s">
        <v>85</v>
      </c>
    </row>
    <row r="143" spans="1:3" x14ac:dyDescent="0.2">
      <c r="A143" s="142">
        <v>15678698</v>
      </c>
      <c r="B143" s="140">
        <v>42487</v>
      </c>
      <c r="C143" s="141" t="s">
        <v>117</v>
      </c>
    </row>
    <row r="144" spans="1:3" x14ac:dyDescent="0.2">
      <c r="A144" s="142">
        <v>15678696</v>
      </c>
      <c r="B144" s="140">
        <v>42487</v>
      </c>
      <c r="C144" s="141" t="s">
        <v>117</v>
      </c>
    </row>
    <row r="145" spans="1:7" x14ac:dyDescent="0.2">
      <c r="A145" s="118">
        <v>15662468</v>
      </c>
      <c r="B145" s="110"/>
      <c r="C145" s="111" t="s">
        <v>128</v>
      </c>
      <c r="D145" s="111"/>
      <c r="E145" s="111"/>
      <c r="F145" s="111"/>
      <c r="G145" s="119">
        <v>42489</v>
      </c>
    </row>
    <row r="146" spans="1:7" x14ac:dyDescent="0.2">
      <c r="A146" s="118">
        <v>15672755</v>
      </c>
      <c r="B146" s="110">
        <v>42487</v>
      </c>
      <c r="C146" s="111" t="s">
        <v>110</v>
      </c>
    </row>
    <row r="147" spans="1:7" x14ac:dyDescent="0.2">
      <c r="A147" s="118">
        <v>15652936</v>
      </c>
      <c r="B147" s="110">
        <v>42487</v>
      </c>
      <c r="C147" s="111" t="s">
        <v>110</v>
      </c>
    </row>
    <row r="148" spans="1:7" x14ac:dyDescent="0.2">
      <c r="A148" s="118">
        <v>15673415</v>
      </c>
      <c r="B148" s="110">
        <v>42487</v>
      </c>
      <c r="C148" s="111" t="s">
        <v>110</v>
      </c>
    </row>
    <row r="149" spans="1:7" x14ac:dyDescent="0.2">
      <c r="A149" s="118">
        <v>15674539</v>
      </c>
      <c r="B149" s="110">
        <v>42487</v>
      </c>
      <c r="C149" s="111" t="s">
        <v>82</v>
      </c>
    </row>
    <row r="150" spans="1:7" x14ac:dyDescent="0.2">
      <c r="A150" s="118">
        <v>15674541</v>
      </c>
      <c r="B150" s="110">
        <v>42480</v>
      </c>
      <c r="C150" s="111" t="s">
        <v>93</v>
      </c>
    </row>
    <row r="151" spans="1:7" x14ac:dyDescent="0.2">
      <c r="A151" s="118">
        <v>15677272</v>
      </c>
      <c r="B151" s="110">
        <v>42489</v>
      </c>
      <c r="C151" s="111" t="s">
        <v>80</v>
      </c>
    </row>
    <row r="152" spans="1:7" x14ac:dyDescent="0.2">
      <c r="A152" s="118">
        <v>15676030</v>
      </c>
      <c r="B152" s="110">
        <v>42480</v>
      </c>
      <c r="C152" s="111" t="s">
        <v>85</v>
      </c>
    </row>
    <row r="153" spans="1:7" x14ac:dyDescent="0.2">
      <c r="A153" s="118">
        <v>15670851</v>
      </c>
      <c r="B153" s="110">
        <v>42485</v>
      </c>
      <c r="C153" s="111" t="s">
        <v>85</v>
      </c>
    </row>
    <row r="154" spans="1:7" x14ac:dyDescent="0.2">
      <c r="A154" s="118">
        <v>15674519</v>
      </c>
      <c r="B154" s="110">
        <v>42488</v>
      </c>
      <c r="C154" s="111" t="s">
        <v>85</v>
      </c>
    </row>
    <row r="155" spans="1:7" x14ac:dyDescent="0.2">
      <c r="A155" s="118">
        <v>24042770</v>
      </c>
      <c r="B155" s="110">
        <v>42489</v>
      </c>
      <c r="C155" s="111" t="s">
        <v>129</v>
      </c>
    </row>
    <row r="156" spans="1:7" x14ac:dyDescent="0.2">
      <c r="A156" s="118">
        <v>15678843</v>
      </c>
      <c r="B156" s="110">
        <v>42489</v>
      </c>
      <c r="C156" s="111" t="s">
        <v>108</v>
      </c>
    </row>
    <row r="157" spans="1:7" x14ac:dyDescent="0.2">
      <c r="A157" s="118">
        <v>15678845</v>
      </c>
      <c r="B157" s="110">
        <v>42489</v>
      </c>
      <c r="C157" s="111" t="s">
        <v>108</v>
      </c>
    </row>
    <row r="158" spans="1:7" x14ac:dyDescent="0.2">
      <c r="A158" s="118">
        <v>15679203</v>
      </c>
      <c r="B158" s="110">
        <v>42492</v>
      </c>
      <c r="C158" s="111" t="s">
        <v>108</v>
      </c>
    </row>
    <row r="159" spans="1:7" x14ac:dyDescent="0.2">
      <c r="A159" s="118">
        <v>15679207</v>
      </c>
      <c r="B159" s="110">
        <v>42492</v>
      </c>
      <c r="C159" s="111" t="s">
        <v>108</v>
      </c>
    </row>
    <row r="160" spans="1:7" x14ac:dyDescent="0.2">
      <c r="A160" s="118">
        <v>15679201</v>
      </c>
      <c r="B160" s="110">
        <v>42492</v>
      </c>
      <c r="C160" s="111" t="s">
        <v>108</v>
      </c>
    </row>
    <row r="161" spans="1:3" x14ac:dyDescent="0.2">
      <c r="A161" s="118">
        <v>15679205</v>
      </c>
      <c r="B161" s="110">
        <v>42492</v>
      </c>
      <c r="C161" s="111" t="s">
        <v>108</v>
      </c>
    </row>
    <row r="162" spans="1:3" x14ac:dyDescent="0.2">
      <c r="A162" s="118">
        <v>15679202</v>
      </c>
      <c r="B162" s="110">
        <v>42492</v>
      </c>
      <c r="C162" s="111" t="s">
        <v>108</v>
      </c>
    </row>
    <row r="163" spans="1:3" x14ac:dyDescent="0.2">
      <c r="A163" s="118">
        <v>15679204</v>
      </c>
      <c r="B163" s="110">
        <v>42492</v>
      </c>
      <c r="C163" s="111" t="s">
        <v>108</v>
      </c>
    </row>
    <row r="164" spans="1:3" x14ac:dyDescent="0.2">
      <c r="A164" s="118">
        <v>15674355</v>
      </c>
      <c r="B164" s="110">
        <v>42492</v>
      </c>
      <c r="C164" s="111" t="s">
        <v>108</v>
      </c>
    </row>
    <row r="165" spans="1:3" x14ac:dyDescent="0.2">
      <c r="A165" s="118">
        <v>15677273</v>
      </c>
      <c r="B165" s="110">
        <v>42492</v>
      </c>
      <c r="C165" s="111" t="s">
        <v>80</v>
      </c>
    </row>
    <row r="166" spans="1:3" x14ac:dyDescent="0.2">
      <c r="A166" s="118">
        <v>15678837</v>
      </c>
      <c r="B166" s="110">
        <v>42488</v>
      </c>
      <c r="C166" s="111" t="s">
        <v>108</v>
      </c>
    </row>
    <row r="167" spans="1:3" x14ac:dyDescent="0.2">
      <c r="A167" s="118">
        <v>15678836</v>
      </c>
      <c r="B167" s="110">
        <v>42488</v>
      </c>
      <c r="C167" s="111" t="s">
        <v>108</v>
      </c>
    </row>
    <row r="168" spans="1:3" x14ac:dyDescent="0.2">
      <c r="A168" s="118">
        <v>15678835</v>
      </c>
      <c r="B168" s="110">
        <v>42488</v>
      </c>
      <c r="C168" s="111" t="s">
        <v>108</v>
      </c>
    </row>
    <row r="169" spans="1:3" x14ac:dyDescent="0.2">
      <c r="A169" s="118">
        <v>15678834</v>
      </c>
      <c r="B169" s="110">
        <v>42488</v>
      </c>
      <c r="C169" s="111" t="s">
        <v>108</v>
      </c>
    </row>
    <row r="170" spans="1:3" x14ac:dyDescent="0.2">
      <c r="A170" s="118">
        <v>15678839</v>
      </c>
      <c r="B170" s="110">
        <v>42488</v>
      </c>
      <c r="C170" s="111" t="s">
        <v>108</v>
      </c>
    </row>
    <row r="171" spans="1:3" x14ac:dyDescent="0.2">
      <c r="A171" s="118">
        <v>15679200</v>
      </c>
      <c r="B171" s="110">
        <v>42489</v>
      </c>
      <c r="C171" s="111" t="s">
        <v>108</v>
      </c>
    </row>
    <row r="172" spans="1:3" x14ac:dyDescent="0.2">
      <c r="A172" s="118">
        <v>15678899</v>
      </c>
      <c r="B172" s="110">
        <v>42489</v>
      </c>
      <c r="C172" s="111" t="s">
        <v>108</v>
      </c>
    </row>
    <row r="173" spans="1:3" x14ac:dyDescent="0.2">
      <c r="A173" s="118">
        <v>15678844</v>
      </c>
      <c r="B173" s="110">
        <v>42489</v>
      </c>
      <c r="C173" s="111" t="s">
        <v>108</v>
      </c>
    </row>
    <row r="174" spans="1:3" x14ac:dyDescent="0.2">
      <c r="A174" s="118">
        <v>15678842</v>
      </c>
      <c r="B174" s="110">
        <v>42489</v>
      </c>
      <c r="C174" s="111" t="s">
        <v>108</v>
      </c>
    </row>
    <row r="175" spans="1:3" x14ac:dyDescent="0.2">
      <c r="A175" s="118">
        <v>15678841</v>
      </c>
      <c r="B175" s="110">
        <v>42489</v>
      </c>
      <c r="C175" s="111" t="s">
        <v>108</v>
      </c>
    </row>
    <row r="176" spans="1:3" x14ac:dyDescent="0.2">
      <c r="A176" s="142">
        <v>15659240</v>
      </c>
      <c r="B176" s="140"/>
      <c r="C176" s="14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lesOrderNumberValidation">
                <anchor moveWithCells="1">
                  <from>
                    <xdr:col>3</xdr:col>
                    <xdr:colOff>19050</xdr:colOff>
                    <xdr:row>0</xdr:row>
                    <xdr:rowOff>19050</xdr:rowOff>
                  </from>
                  <to>
                    <xdr:col>4</xdr:col>
                    <xdr:colOff>0</xdr:colOff>
                    <xdr:row>1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6"/>
  <sheetViews>
    <sheetView topLeftCell="A10" workbookViewId="0">
      <selection activeCell="F17" sqref="F17"/>
    </sheetView>
  </sheetViews>
  <sheetFormatPr defaultRowHeight="14.25" x14ac:dyDescent="0.2"/>
  <cols>
    <col min="1" max="1" width="9" customWidth="1"/>
  </cols>
  <sheetData>
    <row r="1" spans="1:1" ht="53.25" x14ac:dyDescent="0.2">
      <c r="A1" s="92">
        <v>15668844</v>
      </c>
    </row>
    <row r="2" spans="1:1" ht="53.25" x14ac:dyDescent="0.2">
      <c r="A2" s="92">
        <v>15659240</v>
      </c>
    </row>
    <row r="3" spans="1:1" ht="53.25" x14ac:dyDescent="0.2">
      <c r="A3" s="92">
        <v>15670868</v>
      </c>
    </row>
    <row r="4" spans="1:1" ht="53.25" x14ac:dyDescent="0.2">
      <c r="A4" s="92">
        <v>15669805</v>
      </c>
    </row>
    <row r="5" spans="1:1" ht="53.25" x14ac:dyDescent="0.2">
      <c r="A5" s="92">
        <v>15675228</v>
      </c>
    </row>
    <row r="6" spans="1:1" ht="53.25" x14ac:dyDescent="0.2">
      <c r="A6" s="92">
        <v>15676862</v>
      </c>
    </row>
    <row r="7" spans="1:1" ht="53.25" x14ac:dyDescent="0.2">
      <c r="A7" s="92">
        <v>15669399</v>
      </c>
    </row>
    <row r="8" spans="1:1" ht="53.25" x14ac:dyDescent="0.2">
      <c r="A8" s="92">
        <v>15662912</v>
      </c>
    </row>
    <row r="9" spans="1:1" ht="53.25" x14ac:dyDescent="0.2">
      <c r="A9" s="92">
        <v>15676794</v>
      </c>
    </row>
    <row r="10" spans="1:1" ht="53.25" x14ac:dyDescent="0.2">
      <c r="A10" s="92">
        <v>15665749</v>
      </c>
    </row>
    <row r="11" spans="1:1" ht="53.25" x14ac:dyDescent="0.2">
      <c r="A11" s="92">
        <v>15672172</v>
      </c>
    </row>
    <row r="12" spans="1:1" ht="53.25" x14ac:dyDescent="0.2">
      <c r="A12" s="92">
        <v>15667268</v>
      </c>
    </row>
    <row r="13" spans="1:1" ht="31.5" x14ac:dyDescent="0.2">
      <c r="A13" s="24" t="s">
        <v>11</v>
      </c>
    </row>
    <row r="14" spans="1:1" ht="31.5" x14ac:dyDescent="0.2">
      <c r="A14" s="24" t="s">
        <v>11</v>
      </c>
    </row>
    <row r="15" spans="1:1" ht="31.5" x14ac:dyDescent="0.2">
      <c r="A15" s="24" t="s">
        <v>11</v>
      </c>
    </row>
    <row r="16" spans="1:1" ht="31.5" x14ac:dyDescent="0.2">
      <c r="A16" s="24" t="s">
        <v>11</v>
      </c>
    </row>
    <row r="17" spans="1:1" ht="53.25" x14ac:dyDescent="0.2">
      <c r="A17" s="92">
        <v>15668319</v>
      </c>
    </row>
    <row r="18" spans="1:1" ht="53.25" x14ac:dyDescent="0.2">
      <c r="A18" s="92">
        <v>15669181</v>
      </c>
    </row>
    <row r="19" spans="1:1" ht="53.25" x14ac:dyDescent="0.2">
      <c r="A19" s="92">
        <v>15670172</v>
      </c>
    </row>
    <row r="20" spans="1:1" ht="53.25" x14ac:dyDescent="0.2">
      <c r="A20" s="92">
        <v>15669256</v>
      </c>
    </row>
    <row r="21" spans="1:1" ht="53.25" x14ac:dyDescent="0.2">
      <c r="A21" s="92">
        <v>15673531</v>
      </c>
    </row>
    <row r="22" spans="1:1" ht="53.25" x14ac:dyDescent="0.2">
      <c r="A22" s="92">
        <v>15675229</v>
      </c>
    </row>
    <row r="23" spans="1:1" ht="53.25" x14ac:dyDescent="0.2">
      <c r="A23" s="92">
        <v>15677691</v>
      </c>
    </row>
    <row r="24" spans="1:1" ht="53.25" x14ac:dyDescent="0.2">
      <c r="A24" s="92">
        <v>15675223</v>
      </c>
    </row>
    <row r="25" spans="1:1" ht="53.25" x14ac:dyDescent="0.2">
      <c r="A25" s="55">
        <v>15676561</v>
      </c>
    </row>
    <row r="26" spans="1:1" ht="53.25" x14ac:dyDescent="0.2">
      <c r="A26" s="92">
        <v>15677691</v>
      </c>
    </row>
    <row r="27" spans="1:1" ht="53.25" x14ac:dyDescent="0.2">
      <c r="A27" s="92">
        <v>15676871</v>
      </c>
    </row>
    <row r="28" spans="1:1" ht="59.25" x14ac:dyDescent="0.2">
      <c r="A28" s="55">
        <v>156976026</v>
      </c>
    </row>
    <row r="29" spans="1:1" ht="53.25" x14ac:dyDescent="0.2">
      <c r="A29" s="92">
        <v>15670171</v>
      </c>
    </row>
    <row r="30" spans="1:1" ht="53.25" x14ac:dyDescent="0.2">
      <c r="A30" s="92">
        <v>15660426</v>
      </c>
    </row>
    <row r="31" spans="1:1" ht="53.25" x14ac:dyDescent="0.2">
      <c r="A31" s="92">
        <v>15672403</v>
      </c>
    </row>
    <row r="32" spans="1:1" ht="53.25" x14ac:dyDescent="0.2">
      <c r="A32" s="92">
        <v>15673426</v>
      </c>
    </row>
    <row r="33" spans="1:1" ht="53.25" x14ac:dyDescent="0.2">
      <c r="A33" s="92">
        <v>15676463</v>
      </c>
    </row>
    <row r="34" spans="1:1" ht="53.25" x14ac:dyDescent="0.2">
      <c r="A34" s="92">
        <v>15667673</v>
      </c>
    </row>
    <row r="35" spans="1:1" ht="53.25" x14ac:dyDescent="0.2">
      <c r="A35" s="92">
        <v>15675662</v>
      </c>
    </row>
    <row r="36" spans="1:1" ht="53.25" x14ac:dyDescent="0.2">
      <c r="A36" s="92">
        <v>15671589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MRO</vt:lpstr>
      <vt:lpstr>On Hold List</vt:lpstr>
      <vt:lpstr>Ship Record</vt:lpstr>
      <vt:lpstr>Sheet1</vt:lpstr>
      <vt:lpstr>'On Hold List'!Print_Area</vt:lpstr>
    </vt:vector>
  </TitlesOfParts>
  <Company>United Technologies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Aubrie Kennedy</dc:creator>
  <cp:keywords>Non Technical</cp:keywords>
  <cp:lastModifiedBy>Cody Normington - RGBSI</cp:lastModifiedBy>
  <cp:lastPrinted>2016-05-02T13:38:26Z</cp:lastPrinted>
  <dcterms:created xsi:type="dcterms:W3CDTF">2016-04-13T13:49:11Z</dcterms:created>
  <dcterms:modified xsi:type="dcterms:W3CDTF">2016-05-06T13:33:42Z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48337331-5412-4d82-bd31-b54a1e0e2977</vt:lpwstr>
  </property>
  <property fmtid="{D5CDD505-2E9C-101B-9397-08002B2CF9AE}" pid="3" name="UTCTechnicalData">
    <vt:lpwstr>No</vt:lpwstr>
  </property>
  <property fmtid="{D5CDD505-2E9C-101B-9397-08002B2CF9AE}" pid="4" name="UTCTechnicalDataKeyword">
    <vt:lpwstr>Non Technical</vt:lpwstr>
  </property>
</Properties>
</file>